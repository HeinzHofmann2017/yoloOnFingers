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tables/table5.xml" ContentType="application/vnd.openxmlformats-officedocument.spreadsheetml.table+xml"/>
  <Override PartName="/xl/tables/table1.xml" ContentType="application/vnd.openxmlformats-officedocument.spreadsheetml.table+xml"/>
  <Override PartName="/xl/tables/table6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Zeiterfassung" sheetId="1" state="visible" r:id="rId3"/>
    <sheet name="Sheet1" sheetId="2" state="hidden" r:id="rId4"/>
    <sheet name="Sheet2" sheetId="3" state="hidden" r:id="rId5"/>
    <sheet name="Sheet3" sheetId="4" state="hidden" r:id="rId6"/>
    <sheet name="Auswertung" sheetId="5" state="visible" r:id="rId7"/>
    <sheet name="Einstellungen" sheetId="6" state="visible" r:id="rId8"/>
  </sheets>
  <definedNames>
    <definedName function="false" hidden="false" localSheetId="4" name="_xlnm.Print_Area" vbProcedure="false">Auswertung!$A$1:$AL$80</definedName>
    <definedName function="false" hidden="false" name="D_Phase" vbProcedure="false">Phase[Phase]</definedName>
    <definedName function="false" hidden="false" name="D_Verantwortlich" vbProcedure="false">Verantwortlich[Verantwortlich]</definedName>
    <definedName function="false" hidden="false" localSheetId="4" name="_xlnm.Print_Area" vbProcedure="false">Auswertung!$A$1:$AL$80</definedName>
    <definedName function="false" hidden="false" localSheetId="4" name="_xlnm.Print_Area_0" vbProcedure="false">Auswertung!$A$1:$AL$80</definedName>
    <definedName function="false" hidden="false" localSheetId="4" name="_xlnm.Print_Area_0_0" vbProcedure="false">Auswertung!$A$1:$AL$80</definedName>
    <definedName function="false" hidden="false" localSheetId="4" name="_xlnm.Print_Area_0_0_0" vbProcedure="false">Auswertung!$A$1:$AL$80</definedName>
    <definedName function="false" hidden="false" localSheetId="4" name="_xlnm.Print_Area_0_0_0_0" vbProcedure="false">Auswertung!$A$1:$AL$80</definedName>
    <definedName function="false" hidden="false" localSheetId="4" name="_xlnm.Print_Area_0_0_0_0_0" vbProcedure="false">Auswertung!$A$1:$AL$80</definedName>
    <definedName function="false" hidden="false" localSheetId="4" name="_xlnm.Print_Area_0_0_0_0_0_0" vbProcedure="false">Auswertung!$A$1:$AL$80</definedName>
    <definedName function="false" hidden="false" localSheetId="4" name="_xlnm.Print_Area_0_0_0_0_0_0_0" vbProcedure="false">Auswertung!$A$1:$AL$80</definedName>
    <definedName function="false" hidden="false" localSheetId="4" name="_xlnm.Print_Area_0_0_0_0_0_0_0_0" vbProcedure="false">Auswertung!$A$1:$AL$80</definedName>
    <definedName function="false" hidden="false" localSheetId="4" name="_xlnm.Print_Area_0_0_0_0_0_0_0_0_0" vbProcedure="false">Auswertung!$A$1:$AL$80</definedName>
    <definedName function="false" hidden="false" localSheetId="4" name="_xlnm.Print_Area_0_0_0_0_0_0_0_0_0_0" vbProcedure="false">Auswertung!$A$1:$AL$80</definedName>
    <definedName function="false" hidden="false" localSheetId="4" name="_xlnm.Print_Area_0_0_0_0_0_0_0_0_0_0_0" vbProcedure="false">Auswertung!$A$1:$AL$80</definedName>
    <definedName function="false" hidden="false" localSheetId="4" name="_xlnm.Print_Area_0_0_0_0_0_0_0_0_0_0_0_0" vbProcedure="false">Auswertung!$A$1:$AL$80</definedName>
    <definedName function="false" hidden="false" localSheetId="4" name="_xlnm.Print_Area_0_0_0_0_0_0_0_0_0_0_0_0_0" vbProcedure="false">Auswertung!$A$1:$AL$80</definedName>
    <definedName function="false" hidden="false" localSheetId="4" name="_xlnm.Print_Area_0_0_0_0_0_0_0_0_0_0_0_0_0_0" vbProcedure="false">Auswertung!$A$1:$AL$80</definedName>
    <definedName function="false" hidden="false" localSheetId="4" name="_xlnm.Print_Area_0_0_0_0_0_0_0_0_0_0_0_0_0_0_0" vbProcedure="false">Auswertung!$A$1:$AL$80</definedName>
    <definedName function="false" hidden="false" localSheetId="4" name="_xlnm.Print_Area_0_0_0_0_0_0_0_0_0_0_0_0_0_0_0_0" vbProcedure="false">Auswertung!$A$1:$AL$80</definedName>
    <definedName function="false" hidden="false" localSheetId="4" name="_xlnm.Print_Area_0_0_0_0_0_0_0_0_0_0_0_0_0_0_0_0_0" vbProcedure="false">Auswertung!$A$1:$AL$80</definedName>
    <definedName function="false" hidden="false" localSheetId="4" name="_xlnm.Print_Area_0_0_0_0_0_0_0_0_0_0_0_0_0_0_0_0_0_0" vbProcedure="false">Auswertung!$A$1:$AL$80</definedName>
    <definedName function="false" hidden="false" localSheetId="4" name="_xlnm.Print_Area_0_0_0_0_0_0_0_0_0_0_0_0_0_0_0_0_0_0_0" vbProcedure="false">Auswertung!$A$1:$AL$80</definedName>
    <definedName function="false" hidden="false" localSheetId="4" name="_xlnm.Print_Area_0_0_0_0_0_0_0_0_0_0_0_0_0_0_0_0_0_0_0_0" vbProcedure="false">Auswertung!$A$1:$AL$80</definedName>
    <definedName function="false" hidden="false" localSheetId="4" name="_xlnm.Print_Area_0_0_0_0_0_0_0_0_0_0_0_0_0_0_0_0_0_0_0_0_0" vbProcedure="false">Auswertung!$A$1:$AL$80</definedName>
    <definedName function="false" hidden="false" localSheetId="4" name="_xlnm.Print_Area_0_0_0_0_0_0_0_0_0_0_0_0_0_0_0_0_0_0_0_0_0_0" vbProcedure="false">Auswertung!$A$1:$AL$80</definedName>
    <definedName function="false" hidden="false" localSheetId="4" name="_xlnm.Print_Area_0_0_0_0_0_0_0_0_0_0_0_0_0_0_0_0_0_0_0_0_0_0_0" vbProcedure="false">Auswertung!$A$1:$AL$80</definedName>
    <definedName function="false" hidden="false" localSheetId="4" name="_xlnm.Print_Area_0_0_0_0_0_0_0_0_0_0_0_0_0_0_0_0_0_0_0_0_0_0_0_0" vbProcedure="false">Auswertung!$A$1:$AL$80</definedName>
    <definedName function="false" hidden="false" localSheetId="4" name="_xlnm.Print_Area_0_0_0_0_0_0_0_0_0_0_0_0_0_0_0_0_0_0_0_0_0_0_0_0_0" vbProcedure="false">Auswertung!$A$1:$AL$80</definedName>
    <definedName function="false" hidden="false" localSheetId="4" name="_xlnm.Print_Area_0_0_0_0_0_0_0_0_0_0_0_0_0_0_0_0_0_0_0_0_0_0_0_0_0_0" vbProcedure="false">Auswertung!$A$1:$AL$80</definedName>
    <definedName function="false" hidden="false" localSheetId="4" name="_xlnm.Print_Area_0_0_0_0_0_0_0_0_0_0_0_0_0_0_0_0_0_0_0_0_0_0_0_0_0_0_0" vbProcedure="false">Auswertung!$A$1:$AL$80</definedName>
    <definedName function="false" hidden="false" localSheetId="4" name="_xlnm.Print_Area_0_0_0_0_0_0_0_0_0_0_0_0_0_0_0_0_0_0_0_0_0_0_0_0_0_0_0_0" vbProcedure="false">Auswertung!$A$1:$AL$80</definedName>
    <definedName function="false" hidden="false" localSheetId="4" name="_xlnm.Print_Area_0_0_0_0_0_0_0_0_0_0_0_0_0_0_0_0_0_0_0_0_0_0_0_0_0_0_0_0_0" vbProcedure="false">Auswertung!$A$1:$AL$80</definedName>
    <definedName function="false" hidden="false" localSheetId="4" name="_xlnm.Print_Area_0_0_0_0_0_0_0_0_0_0_0_0_0_0_0_0_0_0_0_0_0_0_0_0_0_0_0_0_0_0" vbProcedure="false">Auswertung!$A$1:$AL$80</definedName>
    <definedName function="false" hidden="false" localSheetId="4" name="_xlnm.Print_Area_0_0_0_0_0_0_0_0_0_0_0_0_0_0_0_0_0_0_0_0_0_0_0_0_0_0_0_0_0_0_0" vbProcedure="false">Auswertung!$A$1:$AL$80</definedName>
    <definedName function="false" hidden="false" localSheetId="4" name="_xlnm.Print_Area_0_0_0_0_0_0_0_0_0_0_0_0_0_0_0_0_0_0_0_0_0_0_0_0_0_0_0_0_0_0_0_0" vbProcedure="false">Auswertung!$A$1:$AL$80</definedName>
    <definedName function="false" hidden="false" localSheetId="4" name="_xlnm.Print_Area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_0_0" vbProcedure="false">Auswertung!$A$1:$AL$80</definedName>
    <definedName function="false" hidden="false" localSheetId="4" name="_xlnm.Print_Area_0_0_0_0_0_0_0_0_0_0_0_0_0_0_0_0_0_0_0_0_0_0_0_0_0_0_0_0_0_0_0_0_0_0_0_0_0_0_0_0_0_0_0_0_0_0_0_0_0_0_0_0_0_0_0_0_0_0_0_0_0_0_0_0_0_0_0_0_0_0_0_0" vbProcedure="false">Auswertung!$A$1:$AL$80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<sst xmlns="http://schemas.openxmlformats.org/spreadsheetml/2006/main" count="1137" uniqueCount="307">
  <si>
    <t xml:space="preserve">Zeiterfassung</t>
  </si>
  <si>
    <t xml:space="preserve">360h/Semester</t>
  </si>
  <si>
    <t xml:space="preserve">Fingertracker 2017</t>
  </si>
  <si>
    <t xml:space="preserve">Datum</t>
  </si>
  <si>
    <t xml:space="preserve">Task</t>
  </si>
  <si>
    <t xml:space="preserve">Phase</t>
  </si>
  <si>
    <t xml:space="preserve">Person</t>
  </si>
  <si>
    <t xml:space="preserve">Zeit [h]</t>
  </si>
  <si>
    <t xml:space="preserve">Bemerkungen</t>
  </si>
  <si>
    <t xml:space="preserve">Year</t>
  </si>
  <si>
    <t xml:space="preserve">KW</t>
  </si>
  <si>
    <t xml:space="preserve">Kick-Off Meeting mit Jonas und Guido</t>
  </si>
  <si>
    <t xml:space="preserve">Organisation</t>
  </si>
  <si>
    <t xml:space="preserve">Heinz</t>
  </si>
  <si>
    <t xml:space="preserve">Teilnahme an Präsentation von Tabea über ihre Masterarbeit</t>
  </si>
  <si>
    <t xml:space="preserve">Einrichten des Computerarbeitsplatzes</t>
  </si>
  <si>
    <t xml:space="preserve">Start der Übersetzung des YOLO-Papers zum Verständniss</t>
  </si>
  <si>
    <t xml:space="preserve">Klären &amp; Analyse</t>
  </si>
  <si>
    <t xml:space="preserve">Papers durchlesen / Sitzung vorbereiten.</t>
  </si>
  <si>
    <t xml:space="preserve">Sitzung mit Guido und Tabea</t>
  </si>
  <si>
    <t xml:space="preserve">Besprechung mit Tabea zur Erfassung von Trainingsdaten</t>
  </si>
  <si>
    <t xml:space="preserve">Tabeas Programm so anpassen, dass nur noch max. 1 Finger detektiert werden kann, und entsprechend LED's, etc. nicht mehr fälschlicherweise erkannt werden. </t>
  </si>
  <si>
    <t xml:space="preserve">Implementation</t>
  </si>
  <si>
    <t xml:space="preserve">Linux auf Schulrechner installieren </t>
  </si>
  <si>
    <t xml:space="preserve">darkflow und nötige librarys lokal installieren + eigenes git repo dafür erstellen</t>
  </si>
  <si>
    <t xml:space="preserve">Aufbau mit schwarzem Papier erweitern, und 3000 Bilder mit dem Zeigefinger rechts sammeln.</t>
  </si>
  <si>
    <t xml:space="preserve">Trainingsdaten generieren</t>
  </si>
  <si>
    <t xml:space="preserve">Anpassen von Tabeas Programm zur löschung von zu hellen Bildern um Falscherkennungen zu vermeiden.</t>
  </si>
  <si>
    <t xml:space="preserve">Aufnehmen von Daten Ziel:18‘000Frames Erreicht:6‘000Frames</t>
  </si>
  <si>
    <t xml:space="preserve">Einarbeiten in VIM und erste einfache Lernprogramme</t>
  </si>
  <si>
    <t xml:space="preserve">Besprechung mit Guido für weiteres Vorgehen, erstes Mal die Idee, evtl. Daten nicht automatisch sondern von Personen labeln zu lassen</t>
  </si>
  <si>
    <t xml:space="preserve">Sitzung</t>
  </si>
  <si>
    <t xml:space="preserve">Lernen wie ein Tensor-Flow-Programm aufgebaut ist, mithilfe von Jonas und Hannes</t>
  </si>
  <si>
    <t xml:space="preserve">Durchackern des mnist tensorflow-programms um tensorflow zu lernen </t>
  </si>
  <si>
    <t xml:space="preserve">Verstehen des mnist Beispiels und erweitern des Codes auf 2 Layer ==&gt; lernt zwar, aber schlecht.</t>
  </si>
  <si>
    <t xml:space="preserve">Kurze Besprechung mit Jonas</t>
  </si>
  <si>
    <t xml:space="preserve">Convolutional Neuronal Netzwerk auf Grundlage von mnist erstellen</t>
  </si>
  <si>
    <t xml:space="preserve">erste Schritte mit Datenimport. </t>
  </si>
  <si>
    <t xml:space="preserve">Bilder einlesen, ausgeben und in strings bzw. wieder zurück konvertieren</t>
  </si>
  <si>
    <t xml:space="preserve">erster tfrecord hergestellt, sowie csv-files aufgrund der aussortierten Fotos</t>
  </si>
  <si>
    <t xml:space="preserve">erstellen von tf-record und integrieren in erstes lernprogramm</t>
  </si>
  <si>
    <t xml:space="preserve">erstellen des yolo-Modells in Tensorflow und aufschreiben der Fragen für Hannes/Tabea</t>
  </si>
  <si>
    <t xml:space="preserve">Yolo-Modell mit Hannes besprechen und anpassen. </t>
  </si>
  <si>
    <t xml:space="preserve">Start der erstellung der Kostenfunktion</t>
  </si>
  <si>
    <t xml:space="preserve">Erstellen der ersten vereinfachten Kostenfunktion mit Programmierung im train.01</t>
  </si>
  <si>
    <t xml:space="preserve">Programm auf dem PC zum Trainieren bringen</t>
  </si>
  <si>
    <t xml:space="preserve">Programm auf der DGX zum Trainieren bringen</t>
  </si>
  <si>
    <t xml:space="preserve">Mailerfunktion geschrieben, welche ausgeführt wird, wenn Training beendet ist</t>
  </si>
  <si>
    <t xml:space="preserve">Programm so angepasst, dass das Modell abgespeichert wird. </t>
  </si>
  <si>
    <t xml:space="preserve">Programm vorbereitet, welches die Pretraining-Daten in tf-records umwandelt</t>
  </si>
  <si>
    <t xml:space="preserve">Pretraining-Daten to tf-record-Programm auf PC laufen lassen und Programm verbessert, welches das Model abspeichert. (Ebenfalls laufen gelassen.)</t>
  </si>
  <si>
    <t xml:space="preserve">Pretraining-Daten to tf-record-Programm korrigiert, sodass es keine Fehler mehr hat</t>
  </si>
  <si>
    <t xml:space="preserve">Funktionen gemacht, welche die Pretrain-Daten analysiert und eine Liste aller Labels macht</t>
  </si>
  <si>
    <t xml:space="preserve">Sitzung mit Guido und Jonas</t>
  </si>
  <si>
    <t xml:space="preserve">Dataset-Klasse gemacht, welche mir die Daten vom Computer einliest</t>
  </si>
  <si>
    <t xml:space="preserve">Pretraining-Modell auf dem Desktop zum laufen gebracht.</t>
  </si>
  <si>
    <t xml:space="preserve">Ordnung im Repository gemacht</t>
  </si>
  <si>
    <t xml:space="preserve">Die einen Bilder sind zu klein, andere zu gross für das Pretraining =&gt; mit Tensorflow ein if-condition erstellen, welche anders damit umgeht, jenachdem, was es für Bilder sind…</t>
  </si>
  <si>
    <t xml:space="preserve">Mit Hannes den „besseren“ Datenzugang testen</t>
  </si>
  <si>
    <t xml:space="preserve">Bilder schon vor dem Lernen in zerogepaddete graustufenbilder umwandeln</t>
  </si>
  <si>
    <t xml:space="preserve">Pretraining-Modell auf der DGX zum laufen gekriegt und über das Wochenende laufen lassen</t>
  </si>
  <si>
    <t xml:space="preserve">Tensorboard für Histogramme und Kosten auf das Pretrain-Modell anwenden &amp; analysieren</t>
  </si>
  <si>
    <t xml:space="preserve">Batchnorm implementiert und laufen lassen.</t>
  </si>
  <si>
    <t xml:space="preserve">Konsolenbefehle implementiert</t>
  </si>
  <si>
    <t xml:space="preserve">Normalisierung der Input-Bilder </t>
  </si>
  <si>
    <t xml:space="preserve">Test angepasst, sodass dieser von der GPU berechnet werden kann und so auch im tensorboard angezeigt wird</t>
  </si>
  <si>
    <t xml:space="preserve">Hatte einen Fehler in der Prozentberechnung, weil der Model-Output eine Dimension zuviel hatte. Entsprechend musste dies geflickt werden. </t>
  </si>
  <si>
    <t xml:space="preserve">GradientDescent durch Adam-Optimizer ersetzen. </t>
  </si>
  <si>
    <t xml:space="preserve">Prozentberechnung durch top-5 prozentberechnung ersetzen.</t>
  </si>
  <si>
    <t xml:space="preserve">Abgestürztes Programm nochmals laufen lassen 6top5</t>
  </si>
  <si>
    <t xml:space="preserve">Bnorm vor Relu implementiert und 2* laufen lassen</t>
  </si>
  <si>
    <t xml:space="preserve">Bnorm vor Relu nochmals 3* laufen lassen, weil das erste abgestürzt ist</t>
  </si>
  <si>
    <t xml:space="preserve">caped Gradients und normale Relu implementiert, aber nicht laufen lassen, weil dgx zugemüllt ist…</t>
  </si>
  <si>
    <t xml:space="preserve">dropout implementiert und mit Flags ansteuern lassen. </t>
  </si>
  <si>
    <t xml:space="preserve">angefangen das netzwerk so umzubauen, dass mit den vortrainierten Gewichten auf den Hanbildern trainiert werden kann. </t>
  </si>
  <si>
    <t xml:space="preserve">Problem identifiziert, dass Gewichte nicht einfach so in Graph einlesbar sind/ mit Hannes besprochen</t>
  </si>
  <si>
    <t xml:space="preserve">Sitzung mit Guido, Tabea und Jonas</t>
  </si>
  <si>
    <t xml:space="preserve">tf.Gewichte ==&gt; Pythonliste ==&gt; Pickle ==&gt; initialisierung ==&gt; tf.Gewichte</t>
  </si>
  <si>
    <t xml:space="preserve">training auf Fingern noch „sauber“ zum laufen gebracht…</t>
  </si>
  <si>
    <t xml:space="preserve">versucht die implementation von yolo 2 auf keras zu laufen zu kriegen…</t>
  </si>
  <si>
    <t xml:space="preserve">Analyse der Trainingsergebnisse mit dem Ernüchternden Resultat, dass die vereinfachte Version von Yolo nicht funktionieren kann. </t>
  </si>
  <si>
    <t xml:space="preserve">Entsprechend den Ergebnissen neu Aufbau der Pipeline, mit genau demselben Ansatz wie Yolo</t>
  </si>
  <si>
    <t xml:space="preserve">Fertigstellen der Pipeline und start mit erstellen der Kostenfunktion nach Yolo</t>
  </si>
  <si>
    <t xml:space="preserve">Besprechung mit Guido, kostenfunktion, Output aus dem Netzwerk</t>
  </si>
  <si>
    <t xml:space="preserve">fertigstellen der Kostenfunktion, fertigstellen erster Tests, aufräumen der Ordner nach neuer Hierarchie von Hannes</t>
  </si>
  <si>
    <t xml:space="preserve">Laufen lassen der neuen Implementation auf der DGX=&gt; Absturz wegen „unendlich“ grosser Zahlen die nach tensorboard geschrieben werden sollten..</t>
  </si>
  <si>
    <t xml:space="preserve">Training zum laufen bringen</t>
  </si>
  <si>
    <t xml:space="preserve">Test aufsetzen fast zum laufen bringen….</t>
  </si>
  <si>
    <t xml:space="preserve">Datenstruktur mit dem neuen Share so arrangieren, dass von DGX und Desktop darauf gearbeitet werden kann. </t>
  </si>
  <si>
    <t xml:space="preserve">Tests machen und auf Bilder anzeigen. Einige Dinge im Netzwerk verbessern und wieder laufen lassen. </t>
  </si>
  <si>
    <t xml:space="preserve">Lernfortschritte analysieren und entsprechend die Netzwerke mit Anpassungen wieder laufen lassen. </t>
  </si>
  <si>
    <t xml:space="preserve">Yolo nochmals durchlesen und ausschau halten danach, wie getestet wurde</t>
  </si>
  <si>
    <t xml:space="preserve">Alle Netzwerke anhalten und umschalten von ADAM auf SGD ausserdem noch einige kleinen Dinge etwas verbessern.</t>
  </si>
  <si>
    <t xml:space="preserve">Besprechung mit Guido und Tabea: Testen mit IOU!!</t>
  </si>
  <si>
    <t xml:space="preserve">Daten aufnehmen mit Tabea und Jonas</t>
  </si>
  <si>
    <t xml:space="preserve">Netz umbauen in der Anzeige und auch beim Kostenberechnen auf float32</t>
  </si>
  <si>
    <t xml:space="preserve">Umstellen von float16 auf float32 und von batchsize 7 auf batchsize 24 und mit Bildgrösse 448*448</t>
  </si>
  <si>
    <t xml:space="preserve">Versuch den Test mit der IOU zu erstellen. Scheiterte bisher an der tf.reduce_max</t>
  </si>
  <si>
    <t xml:space="preserve">Mit Hannes Hilfe den Fehler herausgefunden bei tf.reduce_max. Model neu laufen lassen </t>
  </si>
  <si>
    <t xml:space="preserve">Netzwerke analysieren und umbauen, sodass einerseits wirklich die trainingscosts im tb ausgegeben werden </t>
  </si>
  <si>
    <t xml:space="preserve">und dass beim training die Lernrate reduziert wird. </t>
  </si>
  <si>
    <t xml:space="preserve">Aus versehen die entscheidung mit welcher lRate gelernt werden soll falsch programmiert, nun hatte es immer mit der kleinstmöglichen lRate gelernt…</t>
  </si>
  <si>
    <t xml:space="preserve">Suche nach Fehler im Pretraining erfolgreich beendet ==&gt; randomSeed &amp; buffersize des Shufflers</t>
  </si>
  <si>
    <t xml:space="preserve">Die beiden Fehler beheben und laufen lassen</t>
  </si>
  <si>
    <t xml:space="preserve">Die Charts im Tensorboard analysieren und entsprechend nun auch noch das geflickte Training neu laufen lassen.</t>
  </si>
  <si>
    <t xml:space="preserve">Mein erstes Latex-File erstellt. Und formatiert.</t>
  </si>
  <si>
    <t xml:space="preserve">Dokumentation</t>
  </si>
  <si>
    <t xml:space="preserve">Pretraining non auch noch  mit decay in der Lernrate laufen lassen. </t>
  </si>
  <si>
    <t xml:space="preserve">Training den decay der Lernrate angepasst, dass dieser erst nach 150000 Schritten zu ziehen beginnt. </t>
  </si>
  <si>
    <t xml:space="preserve">Lernratendecay vom Training angepasst und labelboundingboxwidth und height mit 4 Multipliziert, für besseres Lernen und bessere iou-Werte</t>
  </si>
  <si>
    <t xml:space="preserve">labelboundingboxwidth und height nach analyse des Lernerfolgs mit 8 anstelle von 4 Multipliziert und nochmals laufen lassen.</t>
  </si>
  <si>
    <t xml:space="preserve">Datenaufbereitung speziell, sodass nicht „dieselben“ Bilder mehrmals vorkommen.</t>
  </si>
  <si>
    <t xml:space="preserve">6000er Daten fertig aufbereitet und entsprechend ein Training gestartet. </t>
  </si>
  <si>
    <t xml:space="preserve">lernratendecay auf konsole und ins Tensorboard zur kontrolle ausgeben. </t>
  </si>
  <si>
    <t xml:space="preserve">Boundingboxen in die Bilder Zeichnen. Test-IOU wird definitiv falsch berechnet</t>
  </si>
  <si>
    <t xml:space="preserve">iou flicken</t>
  </si>
  <si>
    <t xml:space="preserve">learnratedecay endgültig flicken und laufen lassen(auf training &amp; Pretraining)</t>
  </si>
  <si>
    <t xml:space="preserve">weights aus erfolgreichem Lernprozess extrahieren und entsprechend training nochmals laufen lassen </t>
  </si>
  <si>
    <t xml:space="preserve">Berechnung der Distanz zwischen Prediction und Label berechnet und ins Tensorboard geschrieben </t>
  </si>
  <si>
    <t xml:space="preserve">Flicken des Programms, sodass die Distanz korrekt berechnet wird.</t>
  </si>
  <si>
    <t xml:space="preserve">Erweitern des Tests, sodass Informationen über die berechnete Distanz besser zur Geltung kommen</t>
  </si>
  <si>
    <t xml:space="preserve">Histogramme zur Auswertung der Testergebnisse erstellen</t>
  </si>
  <si>
    <t xml:space="preserve">Share-Speicher von Müll befreien (vor allem alte gespeicherte weights)</t>
  </si>
  <si>
    <t xml:space="preserve">training und pretraining mit fullydropout laufen lassen und batchsize verkleinern, damit dies überhaupt möglich ist</t>
  </si>
  <si>
    <t xml:space="preserve">Kurze Analyse der aktuell laufenden Trainings im Tensorboard</t>
  </si>
  <si>
    <t xml:space="preserve">Bilder machen und beginnen mit Dokumentieren</t>
  </si>
  <si>
    <t xml:space="preserve">Überprüfen der Lernfortschritte unserer fulldropout-Programme und entsprechendes abschalten der trainings. Pretraining aber noch weiterlaufen lassen, weil noch kein Overfitting in sicht…</t>
  </si>
  <si>
    <t xml:space="preserve">Löschen aller überflüssigen gespeicherten Weights, damit Share wieder ein Giga freien Speicher hat…</t>
  </si>
  <si>
    <t xml:space="preserve">Netzwerk über die Gipshand von Tabea drüberlassen</t>
  </si>
  <si>
    <t xml:space="preserve">Datenset mit 4500 und 9000 Rohbildern pro Kamera vorbereitet um auf Ihnen zu trainieren.</t>
  </si>
  <si>
    <t xml:space="preserve">Abstract erfassen in der Doku und auch im Abstract-Tool</t>
  </si>
  <si>
    <t xml:space="preserve">9000er Daten fertig vorbereiten und training darauf starten</t>
  </si>
  <si>
    <t xml:space="preserve">Dokumentation in mehrere Dateien aufteilen</t>
  </si>
  <si>
    <t xml:space="preserve">Label Tensor Zeichnen und Doku der Daten Pipeline planen</t>
  </si>
  <si>
    <t xml:space="preserve">9000er Training nochmals neu starten, weil GPU 3 rumzuspuken begonnen hatte….</t>
  </si>
  <si>
    <t xml:space="preserve">ganze Pipeline neu aufsetzen und die verschiedenen Datensets laufen lassen, weil es noch gewisse Unschönheiten gegeben hatte. </t>
  </si>
  <si>
    <t xml:space="preserve">Tests auf den neu gelernten Netzen mit den Daten der neuen Pipeline ausführen. </t>
  </si>
  <si>
    <t xml:space="preserve">verschiedene zusätzliche Tests auf den 9000er Daten machen. </t>
  </si>
  <si>
    <t xml:space="preserve">verschiedene Besprechungen mit Jonas, Hannes und/oder Tabea</t>
  </si>
  <si>
    <t xml:space="preserve">Die beiden Abstract überarbeiten und mit dem schreiben an der Daten-Pipeline beginnen</t>
  </si>
  <si>
    <t xml:space="preserve">Sitzung mit Guido und Jonas, Besprechung Resultate =&gt; Rayleigh distribution / Besprechung Datengenerierung =&gt; To Be Defined</t>
  </si>
  <si>
    <t xml:space="preserve">Literaturverzeichnis für die Dokumentation erstellen.</t>
  </si>
  <si>
    <t xml:space="preserve">Rechtschreibkorrektur im Latex zum laufen bringen und an der Datenpipeline weiterschreiben.</t>
  </si>
  <si>
    <t xml:space="preserve">Besprechung mit Guido und Tabea wegen der Datenaufnahme nächstes Jahr. </t>
  </si>
  <si>
    <t xml:space="preserve">Datenpipeline fertig geschrieben und die Gesamtstruktur erstellt.</t>
  </si>
  <si>
    <t xml:space="preserve">Pretraining schreiben und entsprechende Bilder machen und einfügen. Architektur-Tabellen machen in Latex</t>
  </si>
  <si>
    <t xml:space="preserve">kleine anpassungen in Doku / Planung für die nächsten 3 Wochen machen. </t>
  </si>
  <si>
    <t xml:space="preserve">Doku Architektur weiter vertieft.</t>
  </si>
  <si>
    <t xml:space="preserve">Doku zu Architektur abgeschlossen und Kostenfunktion begonnen</t>
  </si>
  <si>
    <t xml:space="preserve">Kostenfunktion fertig geschrieben und Tests angefangen</t>
  </si>
  <si>
    <t xml:space="preserve">Testkapitel fertig geschrieben</t>
  </si>
  <si>
    <t xml:space="preserve">Einleitung und ganzer Rest der Doku fertig geschrieben</t>
  </si>
  <si>
    <t xml:space="preserve">Erste überarbeitungsiteration begonnen</t>
  </si>
  <si>
    <t xml:space="preserve">Erste überarbeitungsiteration abgeschlossen und Dokument entsprechend angepasst.</t>
  </si>
  <si>
    <t xml:space="preserve">Bis und mit erzeugen der CSV-Files die Dokumentation nach Fabis Korrektur überarbeitet</t>
  </si>
  <si>
    <t xml:space="preserve">Doku mit Christians Inputs überarbeiten</t>
  </si>
  <si>
    <t xml:space="preserve">Christians Inputs mit Christian besprechen</t>
  </si>
  <si>
    <t xml:space="preserve">Doku überarbeiten und Plots für Doku neu ausgeben, Log-Plot machen, etc.</t>
  </si>
  <si>
    <t xml:space="preserve">Doku abschliessen</t>
  </si>
  <si>
    <t xml:space="preserve">Letzte Sitzung des Semesters mit Guido</t>
  </si>
  <si>
    <t xml:space="preserve">Abgabe der Studienarbeit per Mail</t>
  </si>
  <si>
    <t xml:space="preserve">SPI Datennachriten per Logicport messen, Dokumentation abschliessen,
Präsentation vorbereiten, Leistungsstufen Testen und Fehlersuchen, Räumen</t>
  </si>
  <si>
    <t xml:space="preserve">Ausarbeiten</t>
  </si>
  <si>
    <t xml:space="preserve">Honegger</t>
  </si>
  <si>
    <t xml:space="preserve">Implementation Rampenobjekt, zusammenführen der SW Blöcke,
Bestückungs Prototyp 2, HW Tests des Prototyps 2, Fehlerbehebung, Dokumentation vorrantreiben</t>
  </si>
  <si>
    <t xml:space="preserve">Entwerfen</t>
  </si>
  <si>
    <t xml:space="preserve">Redesing Prototyp1, Dokumentation erstellen</t>
  </si>
  <si>
    <t xml:space="preserve">Software Blöcke fertigstellen, dokumentieren</t>
  </si>
  <si>
    <t xml:space="preserve">Developementkits in Betrieb genommen</t>
  </si>
  <si>
    <t xml:space="preserve">Klären</t>
  </si>
  <si>
    <t xml:space="preserve">Stückliste, Programmierung SPI, Bestellliste erstellt, Schema</t>
  </si>
  <si>
    <t xml:space="preserve">Layout Motor Controller erstellen, Abklärungen Design, Softwareanalyse</t>
  </si>
  <si>
    <t xml:space="preserve">Schema erstellen, Encoder Signalverarbeitung Schaltungsanalyse</t>
  </si>
  <si>
    <t xml:space="preserve">Blockdiagramm zu Controller Einheit, Platzanalyse</t>
  </si>
  <si>
    <t xml:space="preserve">Software Parametrisieren, Gedanken zu Softwarekonzept</t>
  </si>
  <si>
    <t xml:space="preserve">Schema Funktionsmuster, Besprechung Fahrbefehle</t>
  </si>
  <si>
    <t xml:space="preserve">Besprechung weiteres Vorgehen und Analyse</t>
  </si>
  <si>
    <t xml:space="preserve">Sitzungen / Protokolle / …</t>
  </si>
  <si>
    <t xml:space="preserve">Analyse des Projektaufwandes</t>
  </si>
  <si>
    <t xml:space="preserve">PID Algorythmus aus Segway verstehen</t>
  </si>
  <si>
    <t xml:space="preserve">Theorie Encoder studieren</t>
  </si>
  <si>
    <t xml:space="preserve">Theorie DC Motoren aufarbeiten</t>
  </si>
  <si>
    <t xml:space="preserve">Einarbeitung Segway SA-338</t>
  </si>
  <si>
    <t xml:space="preserve">Motoren ansteuern über PWM</t>
  </si>
  <si>
    <t xml:space="preserve">Untersuchungen Encoder</t>
  </si>
  <si>
    <t xml:space="preserve">Aufgabenstellung Eurobot</t>
  </si>
  <si>
    <t xml:space="preserve">Logistik Planung</t>
  </si>
  <si>
    <t xml:space="preserve">Habegger</t>
  </si>
  <si>
    <t xml:space="preserve">testing</t>
  </si>
  <si>
    <t xml:space="preserve">Testing</t>
  </si>
  <si>
    <t xml:space="preserve">Doku</t>
  </si>
  <si>
    <t xml:space="preserve">Testing Fahren</t>
  </si>
  <si>
    <t xml:space="preserve">Review-Meeting</t>
  </si>
  <si>
    <t xml:space="preserve">Umkonstruktion Ansaugstutzen Popcorn</t>
  </si>
  <si>
    <t xml:space="preserve">Bestellung Teflonfolie</t>
  </si>
  <si>
    <t xml:space="preserve">Transportboxen kaufen im Jona-Center</t>
  </si>
  <si>
    <t xml:space="preserve">Servosicherungen Verdrahtung grosser Roboter</t>
  </si>
  <si>
    <t xml:space="preserve">Montage</t>
  </si>
  <si>
    <t xml:space="preserve">Sitzung Rückblick Aachen</t>
  </si>
  <si>
    <t xml:space="preserve">Aufräumen Material Aachen, Logistik</t>
  </si>
  <si>
    <t xml:space="preserve">Vernissage EMDE</t>
  </si>
  <si>
    <t xml:space="preserve">Vorbereitung Wettkampf Aachen</t>
  </si>
  <si>
    <t xml:space="preserve">Planung Logistik</t>
  </si>
  <si>
    <t xml:space="preserve">Vorbereitung Checklisten für Aachen</t>
  </si>
  <si>
    <t xml:space="preserve">Montagearbeiten am kleinen Roboter</t>
  </si>
  <si>
    <t xml:space="preserve">Review Achen</t>
  </si>
  <si>
    <t xml:space="preserve">Werkzeuge beschriften</t>
  </si>
  <si>
    <t xml:space="preserve">Checklisten erstellen</t>
  </si>
  <si>
    <t xml:space="preserve">Offerte Transportbox</t>
  </si>
  <si>
    <t xml:space="preserve">Auswechseln Teile kleiner Roboter</t>
  </si>
  <si>
    <t xml:space="preserve">Beacon Aufbau für Gegner, Spindel schmieren etc.</t>
  </si>
  <si>
    <t xml:space="preserve">Sitzung vom 29.09.2014</t>
  </si>
  <si>
    <t xml:space="preserve">Sitzung mit Thomas Kubli</t>
  </si>
  <si>
    <t xml:space="preserve">Auswechseln Lagerung Schutzrohr</t>
  </si>
  <si>
    <t xml:space="preserve">Herstellung Startlehre</t>
  </si>
  <si>
    <t xml:space="preserve">Auswechseln Schrauben Fahrwerk kl. Rob.  und anderes</t>
  </si>
  <si>
    <t xml:space="preserve">Review 5</t>
  </si>
  <si>
    <t xml:space="preserve">Analyse Aufgabenstellung</t>
  </si>
  <si>
    <t xml:space="preserve">Logistik Bestellungen Werkzeug</t>
  </si>
  <si>
    <t xml:space="preserve">Bestellung Werkzeuge und diverses</t>
  </si>
  <si>
    <t xml:space="preserve">Stecker Montage grosser Roboter und diverses</t>
  </si>
  <si>
    <t xml:space="preserve">Fahrwerk kalibrieren</t>
  </si>
  <si>
    <t xml:space="preserve">Montage Schleppräder</t>
  </si>
  <si>
    <t xml:space="preserve">Logistik Planung (Transportboxen)</t>
  </si>
  <si>
    <t xml:space="preserve">Verkabelung / Montage</t>
  </si>
  <si>
    <t xml:space="preserve">Greifer modellierung</t>
  </si>
  <si>
    <t xml:space="preserve">Umkonstruktion Sensor-Halterungen</t>
  </si>
  <si>
    <t xml:space="preserve">Umkonstruktion Greifer kleiner Roboter</t>
  </si>
  <si>
    <t xml:space="preserve">Testing Sensoren</t>
  </si>
  <si>
    <t xml:space="preserve">Montage grosser Roboter</t>
  </si>
  <si>
    <t xml:space="preserve">Review 4</t>
  </si>
  <si>
    <t xml:space="preserve">Verdrahten</t>
  </si>
  <si>
    <t xml:space="preserve">Montage kleiner Roboter (verdrahten)</t>
  </si>
  <si>
    <t xml:space="preserve">Montage kleiner Roboter</t>
  </si>
  <si>
    <t xml:space="preserve">Erstellung Werkzeugliste</t>
  </si>
  <si>
    <t xml:space="preserve">Sitzung vom 06.10.2014</t>
  </si>
  <si>
    <t xml:space="preserve">Skizzen erstellen und Aufgabenstellung Semesterarbeit studieren</t>
  </si>
  <si>
    <t xml:space="preserve">Konzipieren</t>
  </si>
  <si>
    <t xml:space="preserve">Tisch aufstellen für Infotag</t>
  </si>
  <si>
    <t xml:space="preserve">Erstellung Inventarliste Eurobot-Keller</t>
  </si>
  <si>
    <t xml:space="preserve">Sitzung MI</t>
  </si>
  <si>
    <t xml:space="preserve">Montage Roboter</t>
  </si>
  <si>
    <t xml:space="preserve">Sitzung: Aufgabenstellung Semesterarbeit anpassen</t>
  </si>
  <si>
    <t xml:space="preserve">Skizzieren</t>
  </si>
  <si>
    <t xml:space="preserve">Schleifen und malen Tisch für Infotag</t>
  </si>
  <si>
    <t xml:space="preserve">CAD Anpassung Greiferbacken kleiner Roboter</t>
  </si>
  <si>
    <t xml:space="preserve">Besprechnung Aufgabenstellung SA</t>
  </si>
  <si>
    <t xml:space="preserve">Montage und Planung Logistik</t>
  </si>
  <si>
    <t xml:space="preserve">Montagevorbereitung</t>
  </si>
  <si>
    <t xml:space="preserve">Tisch zusammenbauen</t>
  </si>
  <si>
    <t xml:space="preserve">Teile kontrollieren, Schriftzug Tisch abkleben und malen</t>
  </si>
  <si>
    <t xml:space="preserve">Schrauben einsortieren, Sitzung MI, Teile kontrollieren</t>
  </si>
  <si>
    <t xml:space="preserve">Teile kontrollieren</t>
  </si>
  <si>
    <t xml:space="preserve">Tisch malen</t>
  </si>
  <si>
    <t xml:space="preserve">Teile einbuchen und organisatorisches</t>
  </si>
  <si>
    <t xml:space="preserve">Teile einbuchen EMDE und Tisch malen</t>
  </si>
  <si>
    <t xml:space="preserve">Tisch malen und Doku überarbeiten</t>
  </si>
  <si>
    <t xml:space="preserve">Tisch malen und Kickoff meeting</t>
  </si>
  <si>
    <t xml:space="preserve">Organisatorisches</t>
  </si>
  <si>
    <t xml:space="preserve">Zeichnungen ableiten grosser Roboter</t>
  </si>
  <si>
    <t xml:space="preserve">Sitzung alle und Sitzung M-I</t>
  </si>
  <si>
    <t xml:space="preserve">Zeichnungen ableiten</t>
  </si>
  <si>
    <t xml:space="preserve">masterdata gr. Roboter prüfen und Zeichnungen erstellen</t>
  </si>
  <si>
    <t xml:space="preserve">CAD Gleitervorrichtung </t>
  </si>
  <si>
    <t xml:space="preserve">CAD Schleppradeinheit grosser Roboter</t>
  </si>
  <si>
    <t xml:space="preserve">CAD Schleppradeinheit / Gleiter</t>
  </si>
  <si>
    <t xml:space="preserve">CAD und Doku</t>
  </si>
  <si>
    <t xml:space="preserve">Sitzung vom 13.10.2014</t>
  </si>
  <si>
    <t xml:space="preserve">Sitzung und CAD</t>
  </si>
  <si>
    <t xml:space="preserve">FMEA</t>
  </si>
  <si>
    <t xml:space="preserve">FMEA und Besprechung CAD</t>
  </si>
  <si>
    <t xml:space="preserve">Besprechung</t>
  </si>
  <si>
    <t xml:space="preserve">CAD grosser Roboter</t>
  </si>
  <si>
    <t xml:space="preserve">CAD kleiner und grosser Roboter</t>
  </si>
  <si>
    <t xml:space="preserve">Sitzung Sensoren</t>
  </si>
  <si>
    <t xml:space="preserve">Sitzung vom 01.12.2014</t>
  </si>
  <si>
    <t xml:space="preserve">CAD</t>
  </si>
  <si>
    <t xml:space="preserve">Review 2 und anschliessende Sitzung</t>
  </si>
  <si>
    <t xml:space="preserve">Doku und CAD</t>
  </si>
  <si>
    <t xml:space="preserve">Modellbau empfohlenes Konzept</t>
  </si>
  <si>
    <t xml:space="preserve">CAD ändern gemäss PLM-Vorschriften</t>
  </si>
  <si>
    <t xml:space="preserve">CAD servo-Komponenten erstellen</t>
  </si>
  <si>
    <t xml:space="preserve">Dokumentation M¦I</t>
  </si>
  <si>
    <t xml:space="preserve">red carpet </t>
  </si>
  <si>
    <t xml:space="preserve">CAD red carpet</t>
  </si>
  <si>
    <t xml:space="preserve">Sitzung vom 10.11.2014</t>
  </si>
  <si>
    <t xml:space="preserve">Meeting mit Roboter-Club Rapperswil</t>
  </si>
  <si>
    <t xml:space="preserve">Besprechung CAD-Struktur</t>
  </si>
  <si>
    <t xml:space="preserve">Review 1 Meeting</t>
  </si>
  <si>
    <t xml:space="preserve">Vorbereitung Meeting vom 03.11.2014</t>
  </si>
  <si>
    <t xml:space="preserve">Modellbau</t>
  </si>
  <si>
    <t xml:space="preserve">Besprechnung vom 27.10.2014</t>
  </si>
  <si>
    <t xml:space="preserve">Entwickeln red carpet</t>
  </si>
  <si>
    <t xml:space="preserve">Konzeptentwicklung</t>
  </si>
  <si>
    <t xml:space="preserve">red carpet und clapperboard</t>
  </si>
  <si>
    <t xml:space="preserve">Sitzung vom 20.10.2014</t>
  </si>
  <si>
    <t xml:space="preserve">Auswertung der Zeit</t>
  </si>
  <si>
    <t xml:space="preserve">Eurobot 2015</t>
  </si>
  <si>
    <t xml:space="preserve">(All)</t>
  </si>
  <si>
    <t xml:space="preserve">Sum of Zeit [h]</t>
  </si>
  <si>
    <t xml:space="preserve"> </t>
  </si>
  <si>
    <t xml:space="preserve">Row Labels</t>
  </si>
  <si>
    <t xml:space="preserve">(blank)</t>
  </si>
  <si>
    <t xml:space="preserve">SA</t>
  </si>
  <si>
    <t xml:space="preserve">Grand Total</t>
  </si>
  <si>
    <t xml:space="preserve">BA</t>
  </si>
  <si>
    <t xml:space="preserve">Verantwortlich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</si>
</sst>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#,##0.0_ ;[RED]\-#,##0.0\ "/>
    <numFmt numFmtId="166" formatCode="DD/MM/YYYY;@"/>
    <numFmt numFmtId="167" formatCode="@"/>
    <numFmt numFmtId="168" formatCode="DD/MM/YYYY"/>
    <numFmt numFmtId="169" formatCode="0.0"/>
    <numFmt numFmtId="170" formatCode="0"/>
    <numFmt numFmtId="171" formatCode="0%"/>
    <numFmt numFmtId="172" formatCode="0.0%"/>
  </numFmts>
  <fonts count="24">
    <font>
      <sz val="11"/>
      <color rgb="FF404040"/>
      <name val="Corbe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36"/>
      <color rgb="FF404040"/>
      <name val="Corbel"/>
      <family val="2"/>
      <charset val="1"/>
    </font>
    <font>
      <b val="true"/>
      <sz val="16"/>
      <color rgb="FF404040"/>
      <name val="Corbel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404040"/>
      <name val="Calibri Light"/>
      <family val="2"/>
      <charset val="1"/>
    </font>
    <font>
      <b val="true"/>
      <sz val="13"/>
      <color rgb="FF404040"/>
      <name val="Calibri Light"/>
      <family val="2"/>
      <charset val="1"/>
    </font>
    <font>
      <b val="true"/>
      <sz val="13"/>
      <color rgb="FF735773"/>
      <name val="Calibri Light"/>
      <family val="2"/>
      <charset val="1"/>
    </font>
    <font>
      <b val="true"/>
      <sz val="36"/>
      <color rgb="FF000000"/>
      <name val="Calibri Light"/>
      <family val="2"/>
      <charset val="1"/>
    </font>
    <font>
      <b val="true"/>
      <sz val="42"/>
      <color rgb="FF735773"/>
      <name val="Corbel"/>
      <family val="2"/>
      <charset val="1"/>
    </font>
    <font>
      <b val="true"/>
      <sz val="48"/>
      <color rgb="FF000000"/>
      <name val="Calibri Light"/>
      <family val="2"/>
      <charset val="1"/>
    </font>
    <font>
      <sz val="48"/>
      <color rgb="FF404040"/>
      <name val="Calibri Light"/>
      <family val="2"/>
      <charset val="1"/>
    </font>
    <font>
      <sz val="18"/>
      <color rgb="FF404040"/>
      <name val="Calibri Light"/>
      <family val="2"/>
      <charset val="1"/>
    </font>
    <font>
      <sz val="18"/>
      <color rgb="FF735773"/>
      <name val="Calibri Light"/>
      <family val="2"/>
      <charset val="1"/>
    </font>
    <font>
      <b val="true"/>
      <sz val="12"/>
      <color rgb="FF404040"/>
      <name val="Calibri Light"/>
      <family val="2"/>
      <charset val="1"/>
    </font>
    <font>
      <b val="true"/>
      <sz val="16"/>
      <color rgb="FF404040"/>
      <name val="Calibri Light"/>
      <family val="2"/>
      <charset val="1"/>
    </font>
    <font>
      <b val="true"/>
      <sz val="9.5"/>
      <color rgb="FF7F7F7F"/>
      <name val="Calibri Light"/>
      <family val="2"/>
      <charset val="1"/>
    </font>
    <font>
      <sz val="11"/>
      <color rgb="FF404040"/>
      <name val="Calibri Light"/>
      <family val="0"/>
      <charset val="1"/>
    </font>
    <font>
      <sz val="14"/>
      <color rgb="FF595959"/>
      <name val="Calibri"/>
      <family val="2"/>
    </font>
    <font>
      <sz val="10"/>
      <name val="Arial"/>
      <family val="2"/>
    </font>
    <font>
      <b val="true"/>
      <sz val="18"/>
      <color rgb="FF000000"/>
      <name val="Calibri"/>
      <family val="2"/>
    </font>
    <font>
      <sz val="9"/>
      <color rgb="FF59595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11" fillId="0" borderId="0" applyFont="true" applyBorder="false" applyAlignment="true" applyProtection="false">
      <alignment horizontal="general" vertical="center" textRotation="0" wrapText="false" indent="0" shrinkToFit="false"/>
    </xf>
  </cellStyleXfs>
  <cellXfs count="38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6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true">
      <alignment horizontal="general" vertical="center" textRotation="0" wrapText="false" indent="0" shrinkToFit="false"/>
      <protection locked="true" hidden="false"/>
    </xf>
    <xf numFmtId="169" fontId="19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70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70" fontId="0" fillId="0" borderId="1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9" fontId="0" fillId="0" borderId="1" xfId="0" applyFont="false" applyBorder="true" applyAlignment="fals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center" textRotation="0" wrapText="false" indent="15" shrinkToFit="false"/>
      <protection locked="true" hidden="false"/>
    </xf>
    <xf numFmtId="172" fontId="7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true" applyAlignment="false" applyProtection="true">
      <alignment horizontal="general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17618F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E9AB51"/>
      <rgbColor rgb="FFD64F19"/>
      <rgbColor rgb="FF735773"/>
      <rgbColor rgb="FF8AB354"/>
      <rgbColor rgb="FF003366"/>
      <rgbColor rgb="FF60A6AC"/>
      <rgbColor rgb="FF003300"/>
      <rgbColor rgb="FF333300"/>
      <rgbColor rgb="FF993300"/>
      <rgbColor rgb="FF993366"/>
      <rgbColor rgb="FF59595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Stundenverteilung nach Person</a:t>
            </a:r>
          </a:p>
        </c:rich>
      </c:tx>
      <c:layout>
        <c:manualLayout>
          <c:xMode val="edge"/>
          <c:yMode val="edge"/>
          <c:x val="0.266439057698873"/>
          <c:y val="0.1006375227686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2062137248208"/>
          <c:y val="0.270150273224044"/>
          <c:w val="0.344417890064869"/>
          <c:h val="0.68158014571949"/>
        </c:manualLayout>
      </c:layout>
      <c:pieChart>
        <c:varyColors val="1"/>
        <c:ser>
          <c:idx val="0"/>
          <c:order val="0"/>
          <c:tx>
            <c:strRef>
              <c:f>Auswertung!$B$6</c:f>
              <c:strCache>
                <c:ptCount val="1"/>
                <c:pt idx="0">
                  <c:v>Sum of Zeit [h]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explosion val="0"/>
          <c:dPt>
            <c:idx val="0"/>
            <c:spPr>
              <a:solidFill>
                <a:srgbClr val="17618f"/>
              </a:solidFill>
              <a:ln>
                <a:noFill/>
              </a:ln>
            </c:spPr>
          </c:dPt>
          <c:dPt>
            <c:idx val="1"/>
            <c:spPr>
              <a:solidFill>
                <a:srgbClr val="60a6ac"/>
              </a:solidFill>
              <a:ln>
                <a:noFill/>
              </a:ln>
            </c:spPr>
          </c:dPt>
          <c:dPt>
            <c:idx val="2"/>
            <c:spPr>
              <a:solidFill>
                <a:srgbClr val="8ab354"/>
              </a:solidFill>
              <a:ln>
                <a:noFill/>
              </a:ln>
            </c:spPr>
          </c:dPt>
          <c:dPt>
            <c:idx val="3"/>
            <c:spPr>
              <a:solidFill>
                <a:srgbClr val="735773"/>
              </a:solidFill>
              <a:ln>
                <a:noFill/>
              </a:ln>
            </c:spPr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1"/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1"/>
            </c:dLbl>
            <c:dLblPos val="inEnd"/>
            <c:showLegendKey val="0"/>
            <c:showVal val="0"/>
            <c:showCatName val="1"/>
            <c:showSerName val="0"/>
            <c:showPercent val="1"/>
            <c:showLeaderLines val="0"/>
          </c:dLbls>
          <c:cat>
            <c:strRef>
              <c:f>Auswertung!$A$7:$A$10</c:f>
              <c:strCache>
                <c:ptCount val="4"/>
                <c:pt idx="0">
                  <c:v>(blank)</c:v>
                </c:pt>
                <c:pt idx="1">
                  <c:v>Heinz</c:v>
                </c:pt>
                <c:pt idx="2">
                  <c:v>BA</c:v>
                </c:pt>
                <c:pt idx="3">
                  <c:v>Grand Total</c:v>
                </c:pt>
              </c:strCache>
            </c:strRef>
          </c:cat>
          <c:val>
            <c:numRef>
              <c:f>Auswertung!$B$7:$B$10</c:f>
              <c:numCache>
                <c:formatCode>General</c:formatCode>
                <c:ptCount val="4"/>
                <c:pt idx="0">
                  <c:v/>
                </c:pt>
                <c:pt idx="1">
                  <c:v>18.5</c:v>
                </c:pt>
                <c:pt idx="2">
                  <c:v>360.08</c:v>
                </c:pt>
                <c:pt idx="3">
                  <c:v>378.58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67668972938034"/>
          <c:y val="0.0447481655240489"/>
        </c:manualLayout>
      </c:layout>
      <c:overlay val="0"/>
      <c:spPr>
        <a:noFill/>
        <a:ln>
          <a:noFill/>
        </a:ln>
      </c:spPr>
    </c:legend>
    <c:plotVisOnly val="1"/>
    <c:dispBlanksAs val="zero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Stundenverteilung nach Phase</a:t>
            </a:r>
          </a:p>
        </c:rich>
      </c:tx>
      <c:layout>
        <c:manualLayout>
          <c:xMode val="edge"/>
          <c:yMode val="edge"/>
          <c:x val="0.275072026341062"/>
          <c:y val="0.016616144605366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287968171217"/>
          <c:y val="0.235432805658471"/>
          <c:w val="0.406365756619564"/>
          <c:h val="0.63175030874593"/>
        </c:manualLayout>
      </c:layout>
      <c:pieChart>
        <c:varyColors val="1"/>
        <c:ser>
          <c:idx val="0"/>
          <c:order val="0"/>
          <c:tx>
            <c:strRef>
              <c:f>Auswertung!$B$21</c:f>
              <c:strCache>
                <c:ptCount val="1"/>
                <c:pt idx="0">
                  <c:v>Sum of Zeit [h]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explosion val="0"/>
          <c:dPt>
            <c:idx val="0"/>
            <c:spPr>
              <a:solidFill>
                <a:srgbClr val="17618f"/>
              </a:solidFill>
              <a:ln>
                <a:noFill/>
              </a:ln>
            </c:spPr>
          </c:dPt>
          <c:dPt>
            <c:idx val="1"/>
            <c:spPr>
              <a:solidFill>
                <a:srgbClr val="60a6ac"/>
              </a:solidFill>
              <a:ln>
                <a:noFill/>
              </a:ln>
            </c:spPr>
          </c:dPt>
          <c:dPt>
            <c:idx val="2"/>
            <c:spPr>
              <a:solidFill>
                <a:srgbClr val="8ab354"/>
              </a:solidFill>
              <a:ln>
                <a:noFill/>
              </a:ln>
            </c:spPr>
          </c:dPt>
          <c:dPt>
            <c:idx val="3"/>
            <c:spPr>
              <a:solidFill>
                <a:srgbClr val="735773"/>
              </a:solidFill>
              <a:ln>
                <a:noFill/>
              </a:ln>
            </c:spPr>
          </c:dPt>
          <c:dPt>
            <c:idx val="4"/>
            <c:spPr>
              <a:solidFill>
                <a:srgbClr val="d64f19"/>
              </a:solidFill>
              <a:ln>
                <a:noFill/>
              </a:ln>
            </c:spPr>
          </c:dPt>
          <c:dPt>
            <c:idx val="5"/>
            <c:spPr>
              <a:solidFill>
                <a:srgbClr val="e9ab51"/>
              </a:solidFill>
              <a:ln>
                <a:noFill/>
              </a:ln>
            </c:spPr>
          </c:dPt>
          <c:dLbls>
            <c:dLbl>
              <c:idx val="0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1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2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3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4"/>
              <c:dLblPos val="bestFit"/>
              <c:showLegendKey val="0"/>
              <c:showVal val="0"/>
              <c:showCatName val="1"/>
              <c:showSerName val="0"/>
              <c:showPercent val="1"/>
            </c:dLbl>
            <c:dLbl>
              <c:idx val="5"/>
              <c:dLblPos val="bestFit"/>
              <c:showLegendKey val="0"/>
              <c:showVal val="0"/>
              <c:showCatName val="1"/>
              <c:showSerName val="0"/>
              <c:showPercent val="1"/>
            </c:dLbl>
            <c:dLblPos val="bestFit"/>
            <c:showLegendKey val="0"/>
            <c:showVal val="0"/>
            <c:showCatName val="1"/>
            <c:showSerName val="0"/>
            <c:showPercent val="1"/>
            <c:showLeaderLines val="0"/>
          </c:dLbls>
          <c:cat>
            <c:strRef>
              <c:f>Auswertung!$A$22:$A$27</c:f>
              <c:strCache>
                <c:ptCount val="6"/>
                <c:pt idx="0">
                  <c:v>Organisation</c:v>
                </c:pt>
                <c:pt idx="1">
                  <c:v>(blank)</c:v>
                </c:pt>
                <c:pt idx="2">
                  <c:v>Klären &amp; Analyse</c:v>
                </c:pt>
                <c:pt idx="3">
                  <c:v>SA</c:v>
                </c:pt>
                <c:pt idx="4">
                  <c:v>Implementation</c:v>
                </c:pt>
                <c:pt idx="5">
                  <c:v>Grand Total</c:v>
                </c:pt>
              </c:strCache>
            </c:strRef>
          </c:cat>
          <c:val>
            <c:numRef>
              <c:f>Auswertung!$B$22:$B$27</c:f>
              <c:numCache>
                <c:formatCode>General</c:formatCode>
                <c:ptCount val="6"/>
                <c:pt idx="0">
                  <c:v>3.5</c:v>
                </c:pt>
                <c:pt idx="1">
                  <c:v/>
                </c:pt>
                <c:pt idx="2">
                  <c:v>12.5</c:v>
                </c:pt>
                <c:pt idx="3">
                  <c:v>360.08</c:v>
                </c:pt>
                <c:pt idx="4">
                  <c:v>2.5</c:v>
                </c:pt>
                <c:pt idx="5">
                  <c:v>378.58</c:v>
                </c:pt>
              </c:numCache>
            </c:numRef>
          </c:val>
        </c:ser>
        <c:firstSliceAng val="0"/>
      </c:pieChart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764627233938472"/>
          <c:y val="0.18711630890441"/>
        </c:manualLayout>
      </c:layout>
      <c:overlay val="0"/>
      <c:spPr>
        <a:noFill/>
        <a:ln>
          <a:noFill/>
        </a:ln>
      </c:spPr>
    </c:legend>
    <c:plotVisOnly val="1"/>
    <c:dispBlanksAs val="zero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Auswertung nach Phasen</a:t>
            </a:r>
          </a:p>
        </c:rich>
      </c:tx>
      <c:overlay val="0"/>
    </c:title>
    <c:autoTitleDeleted val="0"/>
    <c:plotArea>
      <c:barChart>
        <c:barDir val="col"/>
        <c:grouping val="stacked"/>
        <c:varyColors val="0"/>
        <c:ser>
          <c:idx val="0"/>
          <c:order val="0"/>
          <c:tx>
            <c:strRef>
              <c:f>Auswertung!$H$5:$H$6</c:f>
              <c:strCache>
                <c:ptCount val="1"/>
                <c:pt idx="0">
                  <c:v>  (blank)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Auswertung!$H$7:$H$27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</c:numCache>
            </c:numRef>
          </c:val>
        </c:ser>
        <c:ser>
          <c:idx val="1"/>
          <c:order val="1"/>
          <c:tx>
            <c:strRef>
              <c:f>Auswertung!$I$5:$I$6</c:f>
              <c:strCache>
                <c:ptCount val="1"/>
                <c:pt idx="0">
                  <c:v>Organisation</c:v>
                </c:pt>
              </c:strCache>
            </c:strRef>
          </c:tx>
          <c:spPr>
            <a:solidFill>
              <a:srgbClr val="60a6a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Auswertung!$I$7:$I$27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1</c:v>
                </c:pt>
                <c:pt idx="4">
                  <c:v>1.5</c:v>
                </c:pt>
                <c:pt idx="5">
                  <c:v>1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3.5</c:v>
                </c:pt>
              </c:numCache>
            </c:numRef>
          </c:val>
        </c:ser>
        <c:ser>
          <c:idx val="2"/>
          <c:order val="2"/>
          <c:tx>
            <c:strRef>
              <c:f>Auswertung!$J$5:$J$6</c:f>
              <c:strCache>
                <c:ptCount val="1"/>
                <c:pt idx="0">
                  <c:v>Klären &amp; Analyse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Auswertung!$J$7:$J$27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11</c:v>
                </c:pt>
                <c:pt idx="7">
                  <c:v>1.5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12.5</c:v>
                </c:pt>
              </c:numCache>
            </c:numRef>
          </c:val>
        </c:ser>
        <c:ser>
          <c:idx val="3"/>
          <c:order val="3"/>
          <c:tx>
            <c:strRef>
              <c:f>Auswertung!$K$5:$K$6</c:f>
              <c:strCache>
                <c:ptCount val="1"/>
                <c:pt idx="0">
                  <c:v>SA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Auswertung!$K$7:$K$27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25.72</c:v>
                </c:pt>
                <c:pt idx="7">
                  <c:v>25.72</c:v>
                </c:pt>
                <c:pt idx="8">
                  <c:v>25.72</c:v>
                </c:pt>
                <c:pt idx="9">
                  <c:v>25.72</c:v>
                </c:pt>
                <c:pt idx="10">
                  <c:v>25.72</c:v>
                </c:pt>
                <c:pt idx="11">
                  <c:v>25.72</c:v>
                </c:pt>
                <c:pt idx="12">
                  <c:v>25.72</c:v>
                </c:pt>
                <c:pt idx="13">
                  <c:v>25.72</c:v>
                </c:pt>
                <c:pt idx="14">
                  <c:v>25.72</c:v>
                </c:pt>
                <c:pt idx="15">
                  <c:v>25.72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360.08</c:v>
                </c:pt>
              </c:numCache>
            </c:numRef>
          </c:val>
        </c:ser>
        <c:ser>
          <c:idx val="4"/>
          <c:order val="4"/>
          <c:tx>
            <c:strRef>
              <c:f>Auswertung!$L$5:$L$6</c:f>
              <c:strCache>
                <c:ptCount val="1"/>
                <c:pt idx="0">
                  <c:v>Implementation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Auswertung!$G$7:$G$27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Auswertung!$L$7:$L$27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2.5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2.5</c:v>
                </c:pt>
              </c:numCache>
            </c:numRef>
          </c:val>
        </c:ser>
        <c:gapWidth val="219"/>
        <c:overlap val="100"/>
        <c:axId val="55375717"/>
        <c:axId val="10271540"/>
      </c:barChart>
      <c:catAx>
        <c:axId val="5537571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0271540"/>
        <c:crosses val="autoZero"/>
        <c:auto val="1"/>
        <c:lblAlgn val="ctr"/>
        <c:lblOffset val="100"/>
      </c:catAx>
      <c:valAx>
        <c:axId val="1027154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5375717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Auswertung nach Person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397605943035881"/>
          <c:y val="0.114788785611728"/>
          <c:w val="0.827694065986947"/>
          <c:h val="0.7247789616866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Auswertung!$X$5:$X$6</c:f>
              <c:strCache>
                <c:ptCount val="1"/>
                <c:pt idx="0">
                  <c:v>  (blank)</c:v>
                </c:pt>
              </c:strCache>
            </c:strRef>
          </c:tx>
          <c:spPr>
            <a:solidFill>
              <a:srgbClr val="17618f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Auswertung!$X$7:$X$27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</c:numCache>
            </c:numRef>
          </c:val>
        </c:ser>
        <c:ser>
          <c:idx val="1"/>
          <c:order val="1"/>
          <c:tx>
            <c:strRef>
              <c:f>Auswertung!$Y$5:$Y$6</c:f>
              <c:strCache>
                <c:ptCount val="1"/>
                <c:pt idx="0">
                  <c:v>Heinz</c:v>
                </c:pt>
              </c:strCache>
            </c:strRef>
          </c:tx>
          <c:spPr>
            <a:solidFill>
              <a:srgbClr val="60a6a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Auswertung!$Y$7:$Y$27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>1</c:v>
                </c:pt>
                <c:pt idx="4">
                  <c:v>1.5</c:v>
                </c:pt>
                <c:pt idx="5">
                  <c:v>1</c:v>
                </c:pt>
                <c:pt idx="6">
                  <c:v>11</c:v>
                </c:pt>
                <c:pt idx="7">
                  <c:v>4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18.5</c:v>
                </c:pt>
              </c:numCache>
            </c:numRef>
          </c:val>
        </c:ser>
        <c:ser>
          <c:idx val="2"/>
          <c:order val="2"/>
          <c:tx>
            <c:strRef>
              <c:f>Auswertung!$Z$5:$Z$6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rgbClr val="8ab354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Auswertung!$W$7:$W$27</c:f>
              <c:strCache>
                <c:ptCount val="21"/>
                <c:pt idx="0">
                  <c:v>1900</c:v>
                </c:pt>
                <c:pt idx="1">
                  <c:v>1</c:v>
                </c:pt>
                <c:pt idx="2">
                  <c:v>2017</c:v>
                </c:pt>
                <c:pt idx="3">
                  <c:v>36</c:v>
                </c:pt>
                <c:pt idx="4">
                  <c:v>37</c:v>
                </c:pt>
                <c:pt idx="5">
                  <c:v>38</c:v>
                </c:pt>
                <c:pt idx="6">
                  <c:v>39</c:v>
                </c:pt>
                <c:pt idx="7">
                  <c:v>40</c:v>
                </c:pt>
                <c:pt idx="8">
                  <c:v>41</c:v>
                </c:pt>
                <c:pt idx="9">
                  <c:v>42</c:v>
                </c:pt>
                <c:pt idx="10">
                  <c:v>43</c:v>
                </c:pt>
                <c:pt idx="11">
                  <c:v>44</c:v>
                </c:pt>
                <c:pt idx="12">
                  <c:v>45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49</c:v>
                </c:pt>
                <c:pt idx="17">
                  <c:v>50</c:v>
                </c:pt>
                <c:pt idx="18">
                  <c:v>51</c:v>
                </c:pt>
                <c:pt idx="19">
                  <c:v>52</c:v>
                </c:pt>
                <c:pt idx="20">
                  <c:v>Grand Total</c:v>
                </c:pt>
              </c:strCache>
            </c:strRef>
          </c:cat>
          <c:val>
            <c:numRef>
              <c:f>Auswertung!$Z$7:$Z$27</c:f>
              <c:numCache>
                <c:formatCode>General</c:formatCode>
                <c:ptCount val="2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>25.72</c:v>
                </c:pt>
                <c:pt idx="7">
                  <c:v>25.72</c:v>
                </c:pt>
                <c:pt idx="8">
                  <c:v>25.72</c:v>
                </c:pt>
                <c:pt idx="9">
                  <c:v>25.72</c:v>
                </c:pt>
                <c:pt idx="10">
                  <c:v>25.72</c:v>
                </c:pt>
                <c:pt idx="11">
                  <c:v>25.72</c:v>
                </c:pt>
                <c:pt idx="12">
                  <c:v>25.72</c:v>
                </c:pt>
                <c:pt idx="13">
                  <c:v>25.72</c:v>
                </c:pt>
                <c:pt idx="14">
                  <c:v>25.72</c:v>
                </c:pt>
                <c:pt idx="15">
                  <c:v>25.72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360.08</c:v>
                </c:pt>
              </c:numCache>
            </c:numRef>
          </c:val>
        </c:ser>
        <c:gapWidth val="219"/>
        <c:overlap val="100"/>
        <c:axId val="65831613"/>
        <c:axId val="10946328"/>
      </c:barChart>
      <c:catAx>
        <c:axId val="6583161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0946328"/>
        <c:crosses val="autoZero"/>
        <c:auto val="1"/>
        <c:lblAlgn val="ctr"/>
        <c:lblOffset val="100"/>
      </c:catAx>
      <c:valAx>
        <c:axId val="1094632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65831613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672120</xdr:colOff>
      <xdr:row>0</xdr:row>
      <xdr:rowOff>429840</xdr:rowOff>
    </xdr:from>
    <xdr:to>
      <xdr:col>5</xdr:col>
      <xdr:colOff>3686400</xdr:colOff>
      <xdr:row>14</xdr:row>
      <xdr:rowOff>29520</xdr:rowOff>
    </xdr:to>
    <xdr:graphicFrame>
      <xdr:nvGraphicFramePr>
        <xdr:cNvPr id="0" name="Stunden_pro_Person"/>
        <xdr:cNvGraphicFramePr/>
      </xdr:nvGraphicFramePr>
      <xdr:xfrm>
        <a:off x="4367520" y="429840"/>
        <a:ext cx="5271840" cy="316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479160</xdr:colOff>
      <xdr:row>14</xdr:row>
      <xdr:rowOff>58320</xdr:rowOff>
    </xdr:from>
    <xdr:to>
      <xdr:col>5</xdr:col>
      <xdr:colOff>3469320</xdr:colOff>
      <xdr:row>29</xdr:row>
      <xdr:rowOff>92520</xdr:rowOff>
    </xdr:to>
    <xdr:graphicFrame>
      <xdr:nvGraphicFramePr>
        <xdr:cNvPr id="1" name="Stunden_pro_Phase"/>
        <xdr:cNvGraphicFramePr/>
      </xdr:nvGraphicFramePr>
      <xdr:xfrm>
        <a:off x="4174560" y="3620520"/>
        <a:ext cx="5247720" cy="3206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209160</xdr:colOff>
      <xdr:row>51</xdr:row>
      <xdr:rowOff>172440</xdr:rowOff>
    </xdr:from>
    <xdr:to>
      <xdr:col>19</xdr:col>
      <xdr:colOff>241200</xdr:colOff>
      <xdr:row>70</xdr:row>
      <xdr:rowOff>61920</xdr:rowOff>
    </xdr:to>
    <xdr:graphicFrame>
      <xdr:nvGraphicFramePr>
        <xdr:cNvPr id="2" name="Chart 4"/>
        <xdr:cNvGraphicFramePr/>
      </xdr:nvGraphicFramePr>
      <xdr:xfrm>
        <a:off x="16020360" y="11725920"/>
        <a:ext cx="10557360" cy="4052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674280</xdr:colOff>
      <xdr:row>49</xdr:row>
      <xdr:rowOff>190440</xdr:rowOff>
    </xdr:from>
    <xdr:to>
      <xdr:col>37</xdr:col>
      <xdr:colOff>242280</xdr:colOff>
      <xdr:row>71</xdr:row>
      <xdr:rowOff>134280</xdr:rowOff>
    </xdr:to>
    <xdr:graphicFrame>
      <xdr:nvGraphicFramePr>
        <xdr:cNvPr id="3" name="Chart 1"/>
        <xdr:cNvGraphicFramePr/>
      </xdr:nvGraphicFramePr>
      <xdr:xfrm>
        <a:off x="28420560" y="11305800"/>
        <a:ext cx="11969280" cy="4763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Phase" displayName="Phase" ref="C1:C12" headerRowCount="1" totalsRowCount="0" totalsRowShown="0">
  <autoFilter ref="C1:C12"/>
  <tableColumns count="1">
    <tableColumn id="1" name="Phase"/>
  </tableColumns>
</table>
</file>

<file path=xl/tables/table2.xml><?xml version="1.0" encoding="utf-8"?>
<table xmlns="http://schemas.openxmlformats.org/spreadsheetml/2006/main" id="2" name="Table2" displayName="Table2" ref="A1:G21" headerRowCount="1" totalsRowCount="0" totalsRowShown="0">
  <autoFilter ref="A1:G21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3.xml><?xml version="1.0" encoding="utf-8"?>
<table xmlns="http://schemas.openxmlformats.org/spreadsheetml/2006/main" id="3" name="Table5" displayName="Table5" ref="A1:G162" headerRowCount="1" totalsRowCount="0" totalsRowShown="0">
  <autoFilter ref="A1:G162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4.xml><?xml version="1.0" encoding="utf-8"?>
<table xmlns="http://schemas.openxmlformats.org/spreadsheetml/2006/main" id="4" name="Table6" displayName="Table6" ref="A1:G21" headerRowCount="1" totalsRowCount="0" totalsRowShown="0">
  <autoFilter ref="A1:G21"/>
  <tableColumns count="7">
    <tableColumn id="1" name="Datum"/>
    <tableColumn id="2" name="Task"/>
    <tableColumn id="3" name="Phase"/>
    <tableColumn id="4" name="Person"/>
    <tableColumn id="5" name="Zeit [h]"/>
    <tableColumn id="6" name="Bemerkungen"/>
    <tableColumn id="7" name="KW"/>
  </tableColumns>
</table>
</file>

<file path=xl/tables/table5.xml><?xml version="1.0" encoding="utf-8"?>
<table xmlns="http://schemas.openxmlformats.org/spreadsheetml/2006/main" id="5" name="Verantwortlich" displayName="Verantwortlich" ref="A1:A6" headerRowCount="1" totalsRowCount="0" totalsRowShown="0">
  <autoFilter ref="A1:A6"/>
  <tableColumns count="1">
    <tableColumn id="1" name="Verantwortlich"/>
  </tableColumns>
</table>
</file>

<file path=xl/tables/table6.xml><?xml version="1.0" encoding="utf-8"?>
<table xmlns="http://schemas.openxmlformats.org/spreadsheetml/2006/main" id="6" name="Zeiterfassung" displayName="Zeiterfassung" ref="A3:H356" headerRowCount="1" totalsRowCount="1" totalsRowShown="1">
  <autoFilter ref="A3:H356"/>
  <tableColumns count="8">
    <tableColumn id="1" name="Datum"/>
    <tableColumn id="2" name="Task"/>
    <tableColumn id="3" name="Phase"/>
    <tableColumn id="4" name="Person"/>
    <tableColumn id="5" name="Zeit [h]"/>
    <tableColumn id="6" name="Bemerkungen"/>
    <tableColumn id="7" name="Year"/>
    <tableColumn id="8" name="KW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5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67"/>
  <sheetViews>
    <sheetView windowProtection="false" showFormulas="false" showGridLines="true" showRowColHeaders="true" showZeros="true" rightToLeft="false" tabSelected="true" showOutlineSymbols="true" defaultGridColor="true" view="pageBreakPreview" topLeftCell="A118" colorId="64" zoomScale="110" zoomScaleNormal="100" zoomScalePageLayoutView="110" workbookViewId="0">
      <selection pane="topLeft" activeCell="A154" activeCellId="0" sqref="A154"/>
    </sheetView>
  </sheetViews>
  <sheetFormatPr defaultRowHeight="15"/>
  <cols>
    <col collapsed="false" hidden="false" max="1" min="1" style="1" width="13.3886639676113"/>
    <col collapsed="false" hidden="false" max="2" min="2" style="1" width="106.582995951417"/>
    <col collapsed="false" hidden="false" max="3" min="3" style="1" width="26.5668016194332"/>
    <col collapsed="false" hidden="false" max="4" min="4" style="1" width="13.3886639676113"/>
    <col collapsed="false" hidden="false" max="5" min="5" style="1" width="9"/>
    <col collapsed="false" hidden="false" max="6" min="6" style="1" width="53.4534412955466"/>
    <col collapsed="false" hidden="false" max="7" min="7" style="1" width="10.3886639676113"/>
    <col collapsed="false" hidden="false" max="8" min="8" style="1" width="13.3886639676113"/>
    <col collapsed="false" hidden="false" max="9" min="9" style="1" width="84.6234817813765"/>
    <col collapsed="false" hidden="false" max="10" min="10" style="1" width="26.5668016194332"/>
    <col collapsed="false" hidden="false" max="11" min="11" style="1" width="16.3886639676113"/>
    <col collapsed="false" hidden="false" max="12" min="12" style="1" width="33.2064777327935"/>
    <col collapsed="false" hidden="false" max="13" min="13" style="1" width="53.4534412955466"/>
    <col collapsed="false" hidden="false" max="1025" min="14" style="1" width="2.67611336032389"/>
  </cols>
  <sheetData>
    <row r="1" s="2" customFormat="true" ht="43.3" hidden="false" customHeight="false" outlineLevel="0" collapsed="false">
      <c r="A1" s="2" t="s">
        <v>0</v>
      </c>
      <c r="E1" s="3" t="s">
        <v>1</v>
      </c>
      <c r="H1" s="0"/>
    </row>
    <row r="2" customFormat="false" ht="15" hidden="false" customHeight="false" outlineLevel="0" collapsed="false">
      <c r="A2" s="1" t="s">
        <v>2</v>
      </c>
      <c r="B2" s="0"/>
      <c r="C2" s="0"/>
      <c r="D2" s="0"/>
      <c r="E2" s="0" t="n">
        <f aca="false">SUM(E4:E356)</f>
        <v>371.25</v>
      </c>
      <c r="F2" s="0"/>
      <c r="G2" s="0"/>
      <c r="H2" s="0"/>
      <c r="J2" s="0"/>
    </row>
    <row r="3" customFormat="false" ht="15" hidden="false" customHeight="false" outlineLevel="0" collapsed="false">
      <c r="A3" s="4" t="s">
        <v>3</v>
      </c>
      <c r="B3" s="4" t="s">
        <v>4</v>
      </c>
      <c r="C3" s="4" t="s">
        <v>5</v>
      </c>
      <c r="D3" s="4" t="s">
        <v>6</v>
      </c>
      <c r="E3" s="5" t="s">
        <v>7</v>
      </c>
      <c r="F3" s="4" t="s">
        <v>8</v>
      </c>
      <c r="G3" s="4" t="s">
        <v>9</v>
      </c>
      <c r="H3" s="4" t="s">
        <v>10</v>
      </c>
      <c r="J3" s="0"/>
    </row>
    <row r="4" customFormat="false" ht="13.8" hidden="false" customHeight="false" outlineLevel="0" collapsed="false">
      <c r="A4" s="6" t="n">
        <v>42979</v>
      </c>
      <c r="B4" s="7" t="s">
        <v>11</v>
      </c>
      <c r="C4" s="8" t="s">
        <v>12</v>
      </c>
      <c r="D4" s="8" t="s">
        <v>13</v>
      </c>
      <c r="E4" s="9" t="n">
        <v>1</v>
      </c>
      <c r="F4" s="7"/>
      <c r="G4" s="10" t="n">
        <f aca="false">YEAR(Zeiterfassung[[#This Row],[Datum]])</f>
        <v>2017</v>
      </c>
      <c r="H4" s="10" t="n">
        <f aca="false">WEEKNUM(A4,2)</f>
        <v>36</v>
      </c>
      <c r="J4" s="0"/>
    </row>
    <row r="5" customFormat="false" ht="13.8" hidden="false" customHeight="false" outlineLevel="0" collapsed="false">
      <c r="A5" s="6" t="n">
        <v>42982</v>
      </c>
      <c r="B5" s="7" t="s">
        <v>14</v>
      </c>
      <c r="C5" s="8" t="s">
        <v>12</v>
      </c>
      <c r="D5" s="8" t="s">
        <v>13</v>
      </c>
      <c r="E5" s="9" t="n">
        <v>1.5</v>
      </c>
      <c r="F5" s="7"/>
      <c r="G5" s="10" t="n">
        <f aca="false">YEAR(Zeiterfassung[[#This Row],[Datum]])</f>
        <v>2017</v>
      </c>
      <c r="H5" s="10" t="n">
        <f aca="false">WEEKNUM(A5,2)</f>
        <v>37</v>
      </c>
      <c r="J5" s="0"/>
    </row>
    <row r="6" customFormat="false" ht="13.8" hidden="false" customHeight="false" outlineLevel="0" collapsed="false">
      <c r="A6" s="6" t="n">
        <v>42992</v>
      </c>
      <c r="B6" s="7" t="s">
        <v>15</v>
      </c>
      <c r="C6" s="8" t="s">
        <v>12</v>
      </c>
      <c r="D6" s="8" t="s">
        <v>13</v>
      </c>
      <c r="E6" s="9" t="n">
        <v>1</v>
      </c>
      <c r="F6" s="7"/>
      <c r="G6" s="10" t="n">
        <f aca="false">YEAR(Zeiterfassung[[#This Row],[Datum]])</f>
        <v>2017</v>
      </c>
      <c r="H6" s="10" t="n">
        <f aca="false">WEEKNUM(A6,2)</f>
        <v>38</v>
      </c>
      <c r="J6" s="0"/>
    </row>
    <row r="7" customFormat="false" ht="13.8" hidden="false" customHeight="false" outlineLevel="0" collapsed="false">
      <c r="A7" s="6" t="n">
        <v>42997</v>
      </c>
      <c r="B7" s="7" t="s">
        <v>16</v>
      </c>
      <c r="C7" s="8" t="s">
        <v>17</v>
      </c>
      <c r="D7" s="8" t="s">
        <v>13</v>
      </c>
      <c r="E7" s="9" t="n">
        <v>3.5</v>
      </c>
      <c r="F7" s="7"/>
      <c r="G7" s="10" t="n">
        <f aca="false">YEAR(Zeiterfassung[[#This Row],[Datum]])</f>
        <v>2017</v>
      </c>
      <c r="H7" s="10" t="n">
        <f aca="false">WEEKNUM(A7,2)</f>
        <v>39</v>
      </c>
      <c r="J7" s="0"/>
    </row>
    <row r="8" customFormat="false" ht="13.8" hidden="false" customHeight="false" outlineLevel="0" collapsed="false">
      <c r="A8" s="6" t="n">
        <v>42999</v>
      </c>
      <c r="B8" s="7" t="s">
        <v>18</v>
      </c>
      <c r="C8" s="8" t="s">
        <v>17</v>
      </c>
      <c r="D8" s="8" t="s">
        <v>13</v>
      </c>
      <c r="E8" s="9" t="n">
        <v>6</v>
      </c>
      <c r="F8" s="7"/>
      <c r="G8" s="10" t="n">
        <f aca="false">YEAR(Zeiterfassung[[#This Row],[Datum]])</f>
        <v>2017</v>
      </c>
      <c r="H8" s="10" t="n">
        <f aca="false">WEEKNUM(A8,2)</f>
        <v>39</v>
      </c>
      <c r="J8" s="0"/>
    </row>
    <row r="9" customFormat="false" ht="13.8" hidden="false" customHeight="false" outlineLevel="0" collapsed="false">
      <c r="A9" s="6" t="n">
        <v>43000</v>
      </c>
      <c r="B9" s="7" t="s">
        <v>19</v>
      </c>
      <c r="C9" s="8" t="s">
        <v>17</v>
      </c>
      <c r="D9" s="8" t="s">
        <v>13</v>
      </c>
      <c r="E9" s="9" t="n">
        <v>1.5</v>
      </c>
      <c r="F9" s="7"/>
      <c r="G9" s="10" t="n">
        <f aca="false">YEAR(Zeiterfassung[[#This Row],[Datum]])</f>
        <v>2017</v>
      </c>
      <c r="H9" s="10" t="n">
        <f aca="false">WEEKNUM(A9,2)</f>
        <v>39</v>
      </c>
      <c r="J9" s="0"/>
    </row>
    <row r="10" customFormat="false" ht="13.8" hidden="false" customHeight="false" outlineLevel="0" collapsed="false">
      <c r="A10" s="6" t="n">
        <v>43004</v>
      </c>
      <c r="B10" s="7" t="s">
        <v>20</v>
      </c>
      <c r="C10" s="8" t="s">
        <v>17</v>
      </c>
      <c r="D10" s="8" t="s">
        <v>13</v>
      </c>
      <c r="E10" s="9" t="n">
        <v>1.5</v>
      </c>
      <c r="F10" s="7"/>
      <c r="G10" s="10" t="n">
        <f aca="false">YEAR(Zeiterfassung[[#This Row],[Datum]])</f>
        <v>2017</v>
      </c>
      <c r="H10" s="10" t="n">
        <f aca="false">WEEKNUM(A10,2)</f>
        <v>40</v>
      </c>
      <c r="J10" s="0"/>
    </row>
    <row r="11" customFormat="false" ht="13.8" hidden="false" customHeight="false" outlineLevel="0" collapsed="false">
      <c r="A11" s="6" t="n">
        <v>43004</v>
      </c>
      <c r="B11" s="7" t="s">
        <v>21</v>
      </c>
      <c r="C11" s="8" t="s">
        <v>22</v>
      </c>
      <c r="D11" s="8" t="s">
        <v>13</v>
      </c>
      <c r="E11" s="9" t="n">
        <v>2.5</v>
      </c>
      <c r="F11" s="7"/>
      <c r="G11" s="10" t="n">
        <f aca="false">YEAR(Zeiterfassung[[#This Row],[Datum]])</f>
        <v>2017</v>
      </c>
      <c r="H11" s="10" t="n">
        <f aca="false">WEEKNUM(A11,2)</f>
        <v>40</v>
      </c>
      <c r="J11" s="0"/>
    </row>
    <row r="12" customFormat="false" ht="13.8" hidden="false" customHeight="false" outlineLevel="0" collapsed="false">
      <c r="A12" s="6" t="n">
        <v>43005</v>
      </c>
      <c r="B12" s="7" t="s">
        <v>23</v>
      </c>
      <c r="C12" s="8" t="s">
        <v>17</v>
      </c>
      <c r="D12" s="8" t="s">
        <v>13</v>
      </c>
      <c r="E12" s="9" t="n">
        <v>3</v>
      </c>
      <c r="F12" s="7"/>
      <c r="G12" s="10" t="n">
        <f aca="false">YEAR(Zeiterfassung[[#This Row],[Datum]])</f>
        <v>2017</v>
      </c>
      <c r="H12" s="10" t="n">
        <f aca="false">WEEKNUM(A12,2)</f>
        <v>40</v>
      </c>
      <c r="J12" s="0"/>
    </row>
    <row r="13" customFormat="false" ht="13.8" hidden="false" customHeight="false" outlineLevel="0" collapsed="false">
      <c r="A13" s="6" t="n">
        <v>43005</v>
      </c>
      <c r="B13" s="7" t="s">
        <v>24</v>
      </c>
      <c r="C13" s="8" t="s">
        <v>17</v>
      </c>
      <c r="D13" s="8" t="s">
        <v>13</v>
      </c>
      <c r="E13" s="9" t="n">
        <v>2.5</v>
      </c>
      <c r="F13" s="7"/>
      <c r="G13" s="10" t="n">
        <f aca="false">YEAR(Zeiterfassung[[#This Row],[Datum]])</f>
        <v>2017</v>
      </c>
      <c r="H13" s="10" t="n">
        <f aca="false">WEEKNUM(A13,2)</f>
        <v>40</v>
      </c>
      <c r="J13" s="0"/>
    </row>
    <row r="14" customFormat="false" ht="13.8" hidden="false" customHeight="false" outlineLevel="0" collapsed="false">
      <c r="A14" s="6" t="n">
        <v>43006</v>
      </c>
      <c r="B14" s="7" t="s">
        <v>25</v>
      </c>
      <c r="C14" s="8" t="s">
        <v>26</v>
      </c>
      <c r="D14" s="8" t="s">
        <v>13</v>
      </c>
      <c r="E14" s="9" t="n">
        <v>5</v>
      </c>
      <c r="F14" s="7"/>
      <c r="G14" s="10" t="n">
        <f aca="false">YEAR(Zeiterfassung[[#This Row],[Datum]])</f>
        <v>2017</v>
      </c>
      <c r="H14" s="10" t="n">
        <f aca="false">WEEKNUM(A14,2)</f>
        <v>40</v>
      </c>
      <c r="J14" s="0"/>
    </row>
    <row r="15" customFormat="false" ht="13.8" hidden="false" customHeight="false" outlineLevel="0" collapsed="false">
      <c r="A15" s="6" t="n">
        <v>43007</v>
      </c>
      <c r="B15" s="7" t="s">
        <v>27</v>
      </c>
      <c r="C15" s="8" t="s">
        <v>26</v>
      </c>
      <c r="D15" s="8" t="s">
        <v>13</v>
      </c>
      <c r="E15" s="9" t="n">
        <v>6</v>
      </c>
      <c r="F15" s="7"/>
      <c r="G15" s="10" t="n">
        <f aca="false">YEAR(Zeiterfassung[[#This Row],[Datum]])</f>
        <v>2017</v>
      </c>
      <c r="H15" s="10" t="n">
        <f aca="false">WEEKNUM(A15,2)</f>
        <v>40</v>
      </c>
      <c r="J15" s="0"/>
    </row>
    <row r="16" customFormat="false" ht="13.8" hidden="false" customHeight="false" outlineLevel="0" collapsed="false">
      <c r="A16" s="6" t="n">
        <v>43010</v>
      </c>
      <c r="B16" s="7" t="s">
        <v>28</v>
      </c>
      <c r="C16" s="8" t="s">
        <v>26</v>
      </c>
      <c r="D16" s="8" t="s">
        <v>13</v>
      </c>
      <c r="E16" s="9" t="n">
        <v>1</v>
      </c>
      <c r="F16" s="7"/>
      <c r="G16" s="10" t="n">
        <f aca="false">YEAR(Zeiterfassung[[#This Row],[Datum]])</f>
        <v>2017</v>
      </c>
      <c r="H16" s="10" t="n">
        <f aca="false">WEEKNUM(A16,2)</f>
        <v>41</v>
      </c>
      <c r="J16" s="0"/>
    </row>
    <row r="17" customFormat="false" ht="13.8" hidden="false" customHeight="false" outlineLevel="0" collapsed="false">
      <c r="A17" s="6" t="n">
        <v>43011</v>
      </c>
      <c r="B17" s="7" t="s">
        <v>29</v>
      </c>
      <c r="C17" s="8" t="s">
        <v>22</v>
      </c>
      <c r="D17" s="8" t="s">
        <v>13</v>
      </c>
      <c r="E17" s="9" t="n">
        <v>5.5</v>
      </c>
      <c r="F17" s="7"/>
      <c r="G17" s="10" t="n">
        <f aca="false">YEAR(Zeiterfassung[[#This Row],[Datum]])</f>
        <v>2017</v>
      </c>
      <c r="H17" s="10" t="n">
        <f aca="false">WEEKNUM(A17,2)</f>
        <v>41</v>
      </c>
      <c r="J17" s="0"/>
    </row>
    <row r="18" customFormat="false" ht="13.8" hidden="false" customHeight="false" outlineLevel="0" collapsed="false">
      <c r="A18" s="6" t="n">
        <v>43012</v>
      </c>
      <c r="B18" s="7" t="s">
        <v>30</v>
      </c>
      <c r="C18" s="8" t="s">
        <v>31</v>
      </c>
      <c r="D18" s="8" t="s">
        <v>13</v>
      </c>
      <c r="E18" s="9" t="n">
        <v>1.5</v>
      </c>
      <c r="F18" s="7"/>
      <c r="G18" s="10" t="n">
        <f aca="false">YEAR(Zeiterfassung[[#This Row],[Datum]])</f>
        <v>2017</v>
      </c>
      <c r="H18" s="10" t="n">
        <f aca="false">WEEKNUM(A18,2)</f>
        <v>41</v>
      </c>
      <c r="J18" s="0"/>
    </row>
    <row r="19" customFormat="false" ht="13.8" hidden="false" customHeight="false" outlineLevel="0" collapsed="false">
      <c r="A19" s="6" t="n">
        <v>43012</v>
      </c>
      <c r="B19" s="7" t="s">
        <v>32</v>
      </c>
      <c r="C19" s="8" t="s">
        <v>31</v>
      </c>
      <c r="D19" s="8" t="s">
        <v>13</v>
      </c>
      <c r="E19" s="9" t="n">
        <v>3.5</v>
      </c>
      <c r="F19" s="7"/>
      <c r="G19" s="10" t="n">
        <f aca="false">YEAR(Zeiterfassung[[#This Row],[Datum]])</f>
        <v>2017</v>
      </c>
      <c r="H19" s="10" t="n">
        <f aca="false">WEEKNUM(A19,2)</f>
        <v>41</v>
      </c>
      <c r="J19" s="0"/>
    </row>
    <row r="20" customFormat="false" ht="13.8" hidden="false" customHeight="false" outlineLevel="0" collapsed="false">
      <c r="A20" s="6" t="n">
        <v>43013</v>
      </c>
      <c r="B20" s="7" t="s">
        <v>33</v>
      </c>
      <c r="C20" s="8" t="s">
        <v>17</v>
      </c>
      <c r="D20" s="8" t="s">
        <v>13</v>
      </c>
      <c r="E20" s="9" t="n">
        <v>5</v>
      </c>
      <c r="F20" s="7"/>
      <c r="G20" s="10" t="n">
        <f aca="false">YEAR(Zeiterfassung[[#This Row],[Datum]])</f>
        <v>2017</v>
      </c>
      <c r="H20" s="10" t="n">
        <f aca="false">WEEKNUM(A20,2)</f>
        <v>41</v>
      </c>
      <c r="J20" s="0"/>
    </row>
    <row r="21" customFormat="false" ht="13.8" hidden="false" customHeight="false" outlineLevel="0" collapsed="false">
      <c r="A21" s="6" t="n">
        <v>43014</v>
      </c>
      <c r="B21" s="7" t="s">
        <v>34</v>
      </c>
      <c r="C21" s="8" t="s">
        <v>17</v>
      </c>
      <c r="D21" s="8" t="s">
        <v>13</v>
      </c>
      <c r="E21" s="9" t="n">
        <v>4</v>
      </c>
      <c r="F21" s="7"/>
      <c r="G21" s="10" t="n">
        <f aca="false">YEAR(Zeiterfassung[[#This Row],[Datum]])</f>
        <v>2017</v>
      </c>
      <c r="H21" s="10" t="n">
        <f aca="false">WEEKNUM(A21,2)</f>
        <v>41</v>
      </c>
      <c r="J21" s="0"/>
    </row>
    <row r="22" customFormat="false" ht="13.8" hidden="false" customHeight="false" outlineLevel="0" collapsed="false">
      <c r="A22" s="6" t="n">
        <v>43017</v>
      </c>
      <c r="B22" s="7" t="s">
        <v>35</v>
      </c>
      <c r="C22" s="8" t="s">
        <v>17</v>
      </c>
      <c r="D22" s="8" t="s">
        <v>13</v>
      </c>
      <c r="E22" s="9" t="n">
        <v>0.5</v>
      </c>
      <c r="F22" s="7"/>
      <c r="G22" s="10" t="n">
        <f aca="false">YEAR(Zeiterfassung[[#This Row],[Datum]])</f>
        <v>2017</v>
      </c>
      <c r="H22" s="10" t="n">
        <f aca="false">WEEKNUM(A22,2)</f>
        <v>42</v>
      </c>
      <c r="J22" s="0"/>
    </row>
    <row r="23" customFormat="false" ht="13.8" hidden="false" customHeight="false" outlineLevel="0" collapsed="false">
      <c r="A23" s="6" t="n">
        <v>43018</v>
      </c>
      <c r="B23" s="7" t="s">
        <v>36</v>
      </c>
      <c r="C23" s="8" t="s">
        <v>22</v>
      </c>
      <c r="D23" s="8" t="s">
        <v>13</v>
      </c>
      <c r="E23" s="9" t="n">
        <v>3</v>
      </c>
      <c r="F23" s="7"/>
      <c r="G23" s="10" t="n">
        <f aca="false">YEAR(Zeiterfassung[[#This Row],[Datum]])</f>
        <v>2017</v>
      </c>
      <c r="H23" s="10" t="n">
        <f aca="false">WEEKNUM(A23,2)</f>
        <v>42</v>
      </c>
      <c r="J23" s="0"/>
    </row>
    <row r="24" customFormat="false" ht="13.8" hidden="false" customHeight="false" outlineLevel="0" collapsed="false">
      <c r="A24" s="6" t="n">
        <v>43018</v>
      </c>
      <c r="B24" s="7" t="s">
        <v>37</v>
      </c>
      <c r="C24" s="8" t="s">
        <v>22</v>
      </c>
      <c r="D24" s="8" t="s">
        <v>13</v>
      </c>
      <c r="E24" s="9" t="n">
        <v>1</v>
      </c>
      <c r="F24" s="7"/>
      <c r="G24" s="10" t="n">
        <f aca="false">YEAR(Zeiterfassung[[#This Row],[Datum]])</f>
        <v>2017</v>
      </c>
      <c r="H24" s="10" t="n">
        <f aca="false">WEEKNUM(A24,2)</f>
        <v>42</v>
      </c>
      <c r="J24" s="0"/>
    </row>
    <row r="25" customFormat="false" ht="13.8" hidden="false" customHeight="false" outlineLevel="0" collapsed="false">
      <c r="A25" s="6" t="n">
        <v>43019</v>
      </c>
      <c r="B25" s="7" t="s">
        <v>38</v>
      </c>
      <c r="C25" s="8" t="s">
        <v>22</v>
      </c>
      <c r="D25" s="8" t="s">
        <v>13</v>
      </c>
      <c r="E25" s="9" t="n">
        <v>4</v>
      </c>
      <c r="F25" s="7"/>
      <c r="G25" s="10" t="n">
        <f aca="false">YEAR(Zeiterfassung[[#This Row],[Datum]])</f>
        <v>2017</v>
      </c>
      <c r="H25" s="10" t="n">
        <f aca="false">WEEKNUM(A25,2)</f>
        <v>42</v>
      </c>
      <c r="J25" s="0"/>
    </row>
    <row r="26" customFormat="false" ht="13.8" hidden="false" customHeight="false" outlineLevel="0" collapsed="false">
      <c r="A26" s="6" t="n">
        <v>43019</v>
      </c>
      <c r="B26" s="7" t="s">
        <v>19</v>
      </c>
      <c r="C26" s="8" t="s">
        <v>17</v>
      </c>
      <c r="D26" s="8" t="s">
        <v>13</v>
      </c>
      <c r="E26" s="9" t="n">
        <v>2</v>
      </c>
      <c r="F26" s="7"/>
      <c r="G26" s="10" t="n">
        <f aca="false">YEAR(Zeiterfassung[[#This Row],[Datum]])</f>
        <v>2017</v>
      </c>
      <c r="H26" s="10" t="n">
        <f aca="false">WEEKNUM(A26,2)</f>
        <v>42</v>
      </c>
      <c r="J26" s="0"/>
    </row>
    <row r="27" customFormat="false" ht="13.8" hidden="false" customHeight="false" outlineLevel="0" collapsed="false">
      <c r="A27" s="6" t="n">
        <v>43020</v>
      </c>
      <c r="B27" s="7" t="s">
        <v>39</v>
      </c>
      <c r="C27" s="8" t="s">
        <v>22</v>
      </c>
      <c r="D27" s="8" t="s">
        <v>13</v>
      </c>
      <c r="E27" s="9" t="n">
        <v>7</v>
      </c>
      <c r="F27" s="7"/>
      <c r="G27" s="10" t="n">
        <f aca="false">YEAR(Zeiterfassung[[#This Row],[Datum]])</f>
        <v>2017</v>
      </c>
      <c r="H27" s="10" t="n">
        <f aca="false">WEEKNUM(A27,2)</f>
        <v>42</v>
      </c>
      <c r="J27" s="0"/>
    </row>
    <row r="28" customFormat="false" ht="13.8" hidden="false" customHeight="false" outlineLevel="0" collapsed="false">
      <c r="A28" s="6" t="n">
        <v>43021</v>
      </c>
      <c r="B28" s="7" t="s">
        <v>40</v>
      </c>
      <c r="C28" s="8" t="s">
        <v>22</v>
      </c>
      <c r="D28" s="8" t="s">
        <v>13</v>
      </c>
      <c r="E28" s="9" t="n">
        <v>6.5</v>
      </c>
      <c r="F28" s="7"/>
      <c r="G28" s="10" t="n">
        <f aca="false">YEAR(Zeiterfassung[[#This Row],[Datum]])</f>
        <v>2017</v>
      </c>
      <c r="H28" s="10" t="n">
        <f aca="false">WEEKNUM(A28,2)</f>
        <v>42</v>
      </c>
      <c r="J28" s="0"/>
    </row>
    <row r="29" customFormat="false" ht="13.8" hidden="false" customHeight="false" outlineLevel="0" collapsed="false">
      <c r="A29" s="6" t="n">
        <v>43024</v>
      </c>
      <c r="B29" s="7" t="s">
        <v>41</v>
      </c>
      <c r="C29" s="8" t="s">
        <v>22</v>
      </c>
      <c r="D29" s="8" t="s">
        <v>13</v>
      </c>
      <c r="E29" s="9" t="n">
        <v>7</v>
      </c>
      <c r="F29" s="7"/>
      <c r="G29" s="10" t="n">
        <f aca="false">YEAR(Zeiterfassung[[#This Row],[Datum]])</f>
        <v>2017</v>
      </c>
      <c r="H29" s="10" t="n">
        <f aca="false">WEEKNUM(A29,2)</f>
        <v>43</v>
      </c>
      <c r="J29" s="0"/>
    </row>
    <row r="30" customFormat="false" ht="13.8" hidden="false" customHeight="false" outlineLevel="0" collapsed="false">
      <c r="A30" s="6" t="n">
        <v>43025</v>
      </c>
      <c r="B30" s="7" t="s">
        <v>42</v>
      </c>
      <c r="C30" s="8" t="s">
        <v>22</v>
      </c>
      <c r="D30" s="8" t="s">
        <v>13</v>
      </c>
      <c r="E30" s="9" t="n">
        <v>3</v>
      </c>
      <c r="F30" s="7"/>
      <c r="G30" s="10" t="n">
        <f aca="false">YEAR(Zeiterfassung[[#This Row],[Datum]])</f>
        <v>2017</v>
      </c>
      <c r="H30" s="10" t="n">
        <f aca="false">WEEKNUM(A30,2)</f>
        <v>43</v>
      </c>
      <c r="J30" s="0"/>
    </row>
    <row r="31" customFormat="false" ht="13.8" hidden="false" customHeight="false" outlineLevel="0" collapsed="false">
      <c r="A31" s="6" t="n">
        <v>43025</v>
      </c>
      <c r="B31" s="7" t="s">
        <v>43</v>
      </c>
      <c r="C31" s="8" t="s">
        <v>22</v>
      </c>
      <c r="D31" s="8" t="s">
        <v>13</v>
      </c>
      <c r="E31" s="9" t="n">
        <v>1.5</v>
      </c>
      <c r="F31" s="7"/>
      <c r="G31" s="10" t="n">
        <f aca="false">YEAR(Zeiterfassung[[#This Row],[Datum]])</f>
        <v>2017</v>
      </c>
      <c r="H31" s="10" t="n">
        <f aca="false">WEEKNUM(A31,2)</f>
        <v>43</v>
      </c>
      <c r="J31" s="0"/>
    </row>
    <row r="32" customFormat="false" ht="13.8" hidden="false" customHeight="false" outlineLevel="0" collapsed="false">
      <c r="A32" s="6" t="n">
        <v>43026</v>
      </c>
      <c r="B32" s="7" t="s">
        <v>19</v>
      </c>
      <c r="C32" s="8" t="s">
        <v>17</v>
      </c>
      <c r="D32" s="8" t="s">
        <v>13</v>
      </c>
      <c r="E32" s="9" t="n">
        <v>2</v>
      </c>
      <c r="F32" s="7"/>
      <c r="G32" s="10" t="n">
        <f aca="false">YEAR(Zeiterfassung[[#This Row],[Datum]])</f>
        <v>2017</v>
      </c>
      <c r="H32" s="10" t="n">
        <f aca="false">WEEKNUM(A32,2)</f>
        <v>43</v>
      </c>
      <c r="J32" s="0"/>
    </row>
    <row r="33" customFormat="false" ht="13.8" hidden="false" customHeight="false" outlineLevel="0" collapsed="false">
      <c r="A33" s="6" t="n">
        <v>43026</v>
      </c>
      <c r="B33" s="7" t="s">
        <v>44</v>
      </c>
      <c r="C33" s="8" t="s">
        <v>22</v>
      </c>
      <c r="D33" s="8" t="s">
        <v>13</v>
      </c>
      <c r="E33" s="9" t="n">
        <v>2.5</v>
      </c>
      <c r="F33" s="7"/>
      <c r="G33" s="10" t="n">
        <f aca="false">YEAR(Zeiterfassung[[#This Row],[Datum]])</f>
        <v>2017</v>
      </c>
      <c r="H33" s="10" t="n">
        <f aca="false">WEEKNUM(A33,2)</f>
        <v>43</v>
      </c>
      <c r="J33" s="0"/>
    </row>
    <row r="34" customFormat="false" ht="13.8" hidden="false" customHeight="false" outlineLevel="0" collapsed="false">
      <c r="A34" s="6" t="n">
        <v>43027</v>
      </c>
      <c r="B34" s="7" t="s">
        <v>45</v>
      </c>
      <c r="C34" s="8" t="s">
        <v>22</v>
      </c>
      <c r="D34" s="8" t="s">
        <v>13</v>
      </c>
      <c r="E34" s="9" t="n">
        <v>4</v>
      </c>
      <c r="F34" s="7"/>
      <c r="G34" s="10" t="n">
        <f aca="false">YEAR(Zeiterfassung[[#This Row],[Datum]])</f>
        <v>2017</v>
      </c>
      <c r="H34" s="10" t="n">
        <f aca="false">WEEKNUM(A34,2)</f>
        <v>43</v>
      </c>
      <c r="J34" s="0"/>
    </row>
    <row r="35" customFormat="false" ht="13.8" hidden="false" customHeight="false" outlineLevel="0" collapsed="false">
      <c r="A35" s="6" t="n">
        <v>43028</v>
      </c>
      <c r="B35" s="7" t="s">
        <v>46</v>
      </c>
      <c r="C35" s="8" t="s">
        <v>22</v>
      </c>
      <c r="D35" s="8" t="s">
        <v>13</v>
      </c>
      <c r="E35" s="9" t="n">
        <v>4</v>
      </c>
      <c r="F35" s="7"/>
      <c r="G35" s="10" t="n">
        <f aca="false">YEAR(Zeiterfassung[[#This Row],[Datum]])</f>
        <v>2017</v>
      </c>
      <c r="H35" s="10" t="n">
        <f aca="false">WEEKNUM(A35,2)</f>
        <v>43</v>
      </c>
      <c r="J35" s="0"/>
    </row>
    <row r="36" customFormat="false" ht="13.8" hidden="false" customHeight="false" outlineLevel="0" collapsed="false">
      <c r="A36" s="6" t="n">
        <v>43032</v>
      </c>
      <c r="B36" s="7" t="s">
        <v>47</v>
      </c>
      <c r="C36" s="8" t="s">
        <v>22</v>
      </c>
      <c r="D36" s="8" t="s">
        <v>13</v>
      </c>
      <c r="E36" s="9" t="n">
        <v>4</v>
      </c>
      <c r="F36" s="7"/>
      <c r="G36" s="10" t="n">
        <f aca="false">YEAR(Zeiterfassung[[#This Row],[Datum]])</f>
        <v>2017</v>
      </c>
      <c r="H36" s="10" t="n">
        <f aca="false">WEEKNUM(A36,2)</f>
        <v>44</v>
      </c>
      <c r="J36" s="0"/>
    </row>
    <row r="37" customFormat="false" ht="13.8" hidden="false" customHeight="false" outlineLevel="0" collapsed="false">
      <c r="A37" s="6" t="n">
        <v>43033</v>
      </c>
      <c r="B37" s="7" t="s">
        <v>48</v>
      </c>
      <c r="C37" s="8" t="s">
        <v>22</v>
      </c>
      <c r="D37" s="8" t="s">
        <v>13</v>
      </c>
      <c r="E37" s="9" t="n">
        <v>3</v>
      </c>
      <c r="F37" s="7"/>
      <c r="G37" s="10" t="n">
        <f aca="false">YEAR(Zeiterfassung[[#This Row],[Datum]])</f>
        <v>2017</v>
      </c>
      <c r="H37" s="10" t="n">
        <f aca="false">WEEKNUM(A37,2)</f>
        <v>44</v>
      </c>
      <c r="J37" s="0"/>
    </row>
    <row r="38" customFormat="false" ht="13.8" hidden="false" customHeight="false" outlineLevel="0" collapsed="false">
      <c r="A38" s="6" t="n">
        <v>43033</v>
      </c>
      <c r="B38" s="7" t="s">
        <v>49</v>
      </c>
      <c r="C38" s="8" t="s">
        <v>22</v>
      </c>
      <c r="D38" s="8" t="s">
        <v>13</v>
      </c>
      <c r="E38" s="9" t="n">
        <v>1</v>
      </c>
      <c r="F38" s="7"/>
      <c r="G38" s="10" t="n">
        <f aca="false">YEAR(Zeiterfassung[[#This Row],[Datum]])</f>
        <v>2017</v>
      </c>
      <c r="H38" s="10" t="n">
        <f aca="false">WEEKNUM(A38,2)</f>
        <v>44</v>
      </c>
      <c r="J38" s="0"/>
    </row>
    <row r="39" customFormat="false" ht="13.8" hidden="false" customHeight="false" outlineLevel="0" collapsed="false">
      <c r="A39" s="6" t="n">
        <v>43038</v>
      </c>
      <c r="B39" s="7" t="s">
        <v>50</v>
      </c>
      <c r="C39" s="8" t="s">
        <v>22</v>
      </c>
      <c r="D39" s="8" t="s">
        <v>13</v>
      </c>
      <c r="E39" s="9" t="n">
        <v>1</v>
      </c>
      <c r="F39" s="7"/>
      <c r="G39" s="10" t="n">
        <f aca="false">YEAR(Zeiterfassung[[#This Row],[Datum]])</f>
        <v>2017</v>
      </c>
      <c r="H39" s="10" t="n">
        <f aca="false">WEEKNUM(A39,2)</f>
        <v>45</v>
      </c>
      <c r="J39" s="0"/>
    </row>
    <row r="40" customFormat="false" ht="13.8" hidden="false" customHeight="false" outlineLevel="0" collapsed="false">
      <c r="A40" s="6" t="n">
        <v>43039</v>
      </c>
      <c r="B40" s="7" t="s">
        <v>51</v>
      </c>
      <c r="C40" s="8" t="s">
        <v>22</v>
      </c>
      <c r="D40" s="8" t="s">
        <v>13</v>
      </c>
      <c r="E40" s="9" t="n">
        <v>3.5</v>
      </c>
      <c r="F40" s="7"/>
      <c r="G40" s="10" t="n">
        <f aca="false">YEAR(Zeiterfassung[[#This Row],[Datum]])</f>
        <v>2017</v>
      </c>
      <c r="H40" s="10" t="n">
        <f aca="false">WEEKNUM(A40,2)</f>
        <v>45</v>
      </c>
      <c r="J40" s="0"/>
    </row>
    <row r="41" customFormat="false" ht="13.8" hidden="false" customHeight="false" outlineLevel="0" collapsed="false">
      <c r="A41" s="6" t="n">
        <v>43040</v>
      </c>
      <c r="B41" s="7" t="s">
        <v>52</v>
      </c>
      <c r="C41" s="8" t="s">
        <v>22</v>
      </c>
      <c r="D41" s="8" t="s">
        <v>13</v>
      </c>
      <c r="E41" s="9" t="n">
        <v>4</v>
      </c>
      <c r="F41" s="7"/>
      <c r="G41" s="10" t="n">
        <f aca="false">YEAR(Zeiterfassung[[#This Row],[Datum]])</f>
        <v>2017</v>
      </c>
      <c r="H41" s="10" t="n">
        <f aca="false">WEEKNUM(A41,2)</f>
        <v>45</v>
      </c>
      <c r="J41" s="0"/>
    </row>
    <row r="42" customFormat="false" ht="13.8" hidden="false" customHeight="false" outlineLevel="0" collapsed="false">
      <c r="A42" s="6" t="n">
        <v>43040</v>
      </c>
      <c r="B42" s="7" t="s">
        <v>53</v>
      </c>
      <c r="C42" s="8" t="s">
        <v>17</v>
      </c>
      <c r="D42" s="8" t="s">
        <v>13</v>
      </c>
      <c r="E42" s="9" t="n">
        <v>2</v>
      </c>
      <c r="F42" s="7"/>
      <c r="G42" s="10" t="n">
        <f aca="false">YEAR(Zeiterfassung[[#This Row],[Datum]])</f>
        <v>2017</v>
      </c>
      <c r="H42" s="10" t="n">
        <f aca="false">WEEKNUM(A42,2)</f>
        <v>45</v>
      </c>
      <c r="J42" s="0"/>
    </row>
    <row r="43" customFormat="false" ht="13.8" hidden="false" customHeight="false" outlineLevel="0" collapsed="false">
      <c r="A43" s="6" t="n">
        <v>43040</v>
      </c>
      <c r="B43" s="7" t="s">
        <v>54</v>
      </c>
      <c r="C43" s="8" t="s">
        <v>22</v>
      </c>
      <c r="D43" s="8" t="s">
        <v>13</v>
      </c>
      <c r="E43" s="9" t="n">
        <v>4</v>
      </c>
      <c r="F43" s="7"/>
      <c r="G43" s="10" t="n">
        <f aca="false">YEAR(Zeiterfassung[[#This Row],[Datum]])</f>
        <v>2017</v>
      </c>
      <c r="H43" s="10" t="n">
        <f aca="false">WEEKNUM(A43,2)</f>
        <v>45</v>
      </c>
      <c r="J43" s="0"/>
    </row>
    <row r="44" customFormat="false" ht="13.8" hidden="false" customHeight="false" outlineLevel="0" collapsed="false">
      <c r="A44" s="6" t="n">
        <v>43040</v>
      </c>
      <c r="B44" s="7" t="s">
        <v>55</v>
      </c>
      <c r="C44" s="8" t="s">
        <v>22</v>
      </c>
      <c r="D44" s="8" t="s">
        <v>13</v>
      </c>
      <c r="E44" s="9" t="n">
        <v>2</v>
      </c>
      <c r="F44" s="7"/>
      <c r="G44" s="10" t="n">
        <f aca="false">YEAR(Zeiterfassung[[#This Row],[Datum]])</f>
        <v>2017</v>
      </c>
      <c r="H44" s="10" t="n">
        <f aca="false">WEEKNUM(A44,2)</f>
        <v>45</v>
      </c>
      <c r="J44" s="0"/>
    </row>
    <row r="45" customFormat="false" ht="13.8" hidden="false" customHeight="false" outlineLevel="0" collapsed="false">
      <c r="A45" s="6" t="n">
        <v>43041</v>
      </c>
      <c r="B45" s="7" t="s">
        <v>56</v>
      </c>
      <c r="C45" s="8" t="s">
        <v>22</v>
      </c>
      <c r="D45" s="8" t="s">
        <v>13</v>
      </c>
      <c r="E45" s="9" t="n">
        <v>0.5</v>
      </c>
      <c r="F45" s="7"/>
      <c r="G45" s="10" t="n">
        <f aca="false">YEAR(Zeiterfassung[[#This Row],[Datum]])</f>
        <v>2017</v>
      </c>
      <c r="H45" s="10" t="n">
        <f aca="false">WEEKNUM(A45,2)</f>
        <v>45</v>
      </c>
      <c r="J45" s="0"/>
    </row>
    <row r="46" customFormat="false" ht="13.8" hidden="false" customHeight="false" outlineLevel="0" collapsed="false">
      <c r="A46" s="6" t="n">
        <v>43041</v>
      </c>
      <c r="B46" s="7" t="s">
        <v>57</v>
      </c>
      <c r="C46" s="8" t="s">
        <v>22</v>
      </c>
      <c r="D46" s="8" t="s">
        <v>13</v>
      </c>
      <c r="E46" s="9" t="n">
        <v>1</v>
      </c>
      <c r="F46" s="7"/>
      <c r="G46" s="10" t="n">
        <f aca="false">YEAR(Zeiterfassung[[#This Row],[Datum]])</f>
        <v>2017</v>
      </c>
      <c r="H46" s="10" t="n">
        <f aca="false">WEEKNUM(A46,2)</f>
        <v>45</v>
      </c>
      <c r="J46" s="0"/>
    </row>
    <row r="47" customFormat="false" ht="13.8" hidden="false" customHeight="false" outlineLevel="0" collapsed="false">
      <c r="A47" s="6" t="n">
        <v>43041</v>
      </c>
      <c r="B47" s="7" t="s">
        <v>58</v>
      </c>
      <c r="C47" s="8" t="s">
        <v>22</v>
      </c>
      <c r="D47" s="8" t="s">
        <v>13</v>
      </c>
      <c r="E47" s="9" t="n">
        <v>1.5</v>
      </c>
      <c r="F47" s="7"/>
      <c r="G47" s="10" t="n">
        <f aca="false">YEAR(Zeiterfassung[[#This Row],[Datum]])</f>
        <v>2017</v>
      </c>
      <c r="H47" s="10" t="n">
        <f aca="false">WEEKNUM(A47,2)</f>
        <v>45</v>
      </c>
      <c r="J47" s="0"/>
    </row>
    <row r="48" customFormat="false" ht="13.8" hidden="false" customHeight="false" outlineLevel="0" collapsed="false">
      <c r="A48" s="6" t="n">
        <v>43041</v>
      </c>
      <c r="B48" s="7" t="s">
        <v>59</v>
      </c>
      <c r="C48" s="8" t="s">
        <v>22</v>
      </c>
      <c r="D48" s="8" t="s">
        <v>13</v>
      </c>
      <c r="E48" s="9" t="n">
        <v>1.5</v>
      </c>
      <c r="F48" s="7"/>
      <c r="G48" s="10" t="n">
        <f aca="false">YEAR(Zeiterfassung[[#This Row],[Datum]])</f>
        <v>2017</v>
      </c>
      <c r="H48" s="10" t="n">
        <f aca="false">WEEKNUM(A48,2)</f>
        <v>45</v>
      </c>
      <c r="J48" s="0"/>
    </row>
    <row r="49" customFormat="false" ht="13.8" hidden="false" customHeight="false" outlineLevel="0" collapsed="false">
      <c r="A49" s="6" t="n">
        <v>43042</v>
      </c>
      <c r="B49" s="7" t="s">
        <v>60</v>
      </c>
      <c r="C49" s="8" t="s">
        <v>22</v>
      </c>
      <c r="D49" s="8" t="s">
        <v>13</v>
      </c>
      <c r="E49" s="9" t="n">
        <v>5</v>
      </c>
      <c r="F49" s="7"/>
      <c r="G49" s="10" t="n">
        <f aca="false">YEAR(Zeiterfassung[[#This Row],[Datum]])</f>
        <v>2017</v>
      </c>
      <c r="H49" s="10" t="n">
        <f aca="false">WEEKNUM(A49,2)</f>
        <v>45</v>
      </c>
      <c r="J49" s="0"/>
    </row>
    <row r="50" customFormat="false" ht="13.8" hidden="false" customHeight="false" outlineLevel="0" collapsed="false">
      <c r="A50" s="6" t="n">
        <v>43045</v>
      </c>
      <c r="B50" s="7" t="s">
        <v>61</v>
      </c>
      <c r="C50" s="8" t="s">
        <v>22</v>
      </c>
      <c r="D50" s="8" t="s">
        <v>13</v>
      </c>
      <c r="E50" s="9" t="n">
        <v>5</v>
      </c>
      <c r="F50" s="7"/>
      <c r="G50" s="10" t="n">
        <f aca="false">YEAR(Zeiterfassung[[#This Row],[Datum]])</f>
        <v>2017</v>
      </c>
      <c r="H50" s="10" t="n">
        <f aca="false">WEEKNUM(A50,2)</f>
        <v>46</v>
      </c>
      <c r="J50" s="0"/>
    </row>
    <row r="51" customFormat="false" ht="13.8" hidden="false" customHeight="false" outlineLevel="0" collapsed="false">
      <c r="A51" s="6" t="n">
        <v>43046</v>
      </c>
      <c r="B51" s="7" t="s">
        <v>62</v>
      </c>
      <c r="C51" s="8" t="s">
        <v>22</v>
      </c>
      <c r="D51" s="8" t="s">
        <v>13</v>
      </c>
      <c r="E51" s="9" t="n">
        <v>4</v>
      </c>
      <c r="F51" s="7"/>
      <c r="G51" s="10" t="n">
        <f aca="false">YEAR(Zeiterfassung[[#This Row],[Datum]])</f>
        <v>2017</v>
      </c>
      <c r="H51" s="10" t="n">
        <f aca="false">WEEKNUM(A51,2)</f>
        <v>46</v>
      </c>
      <c r="J51" s="0"/>
    </row>
    <row r="52" customFormat="false" ht="13.8" hidden="false" customHeight="false" outlineLevel="0" collapsed="false">
      <c r="A52" s="6" t="n">
        <v>43047</v>
      </c>
      <c r="B52" s="7" t="s">
        <v>53</v>
      </c>
      <c r="C52" s="8" t="s">
        <v>17</v>
      </c>
      <c r="D52" s="8" t="s">
        <v>13</v>
      </c>
      <c r="E52" s="9" t="n">
        <v>2</v>
      </c>
      <c r="F52" s="7"/>
      <c r="G52" s="10" t="n">
        <f aca="false">YEAR(Zeiterfassung[[#This Row],[Datum]])</f>
        <v>2017</v>
      </c>
      <c r="H52" s="10" t="n">
        <f aca="false">WEEKNUM(A52,2)</f>
        <v>46</v>
      </c>
      <c r="J52" s="0"/>
    </row>
    <row r="53" customFormat="false" ht="13.8" hidden="false" customHeight="false" outlineLevel="0" collapsed="false">
      <c r="A53" s="6" t="n">
        <v>43047</v>
      </c>
      <c r="B53" s="7" t="s">
        <v>63</v>
      </c>
      <c r="C53" s="8" t="s">
        <v>22</v>
      </c>
      <c r="D53" s="8" t="s">
        <v>13</v>
      </c>
      <c r="E53" s="9" t="n">
        <v>4</v>
      </c>
      <c r="F53" s="7"/>
      <c r="G53" s="10" t="n">
        <f aca="false">YEAR(Zeiterfassung[[#This Row],[Datum]])</f>
        <v>2017</v>
      </c>
      <c r="H53" s="10" t="n">
        <f aca="false">WEEKNUM(A53,2)</f>
        <v>46</v>
      </c>
      <c r="J53" s="0"/>
    </row>
    <row r="54" customFormat="false" ht="13.8" hidden="false" customHeight="false" outlineLevel="0" collapsed="false">
      <c r="A54" s="6" t="n">
        <v>43047</v>
      </c>
      <c r="B54" s="7" t="s">
        <v>64</v>
      </c>
      <c r="C54" s="8" t="s">
        <v>22</v>
      </c>
      <c r="D54" s="8" t="s">
        <v>13</v>
      </c>
      <c r="E54" s="9" t="n">
        <v>1.5</v>
      </c>
      <c r="F54" s="7"/>
      <c r="G54" s="10" t="n">
        <f aca="false">YEAR(Zeiterfassung[[#This Row],[Datum]])</f>
        <v>2017</v>
      </c>
      <c r="H54" s="10" t="n">
        <f aca="false">WEEKNUM(A54,2)</f>
        <v>46</v>
      </c>
      <c r="J54" s="0"/>
    </row>
    <row r="55" customFormat="false" ht="13.8" hidden="false" customHeight="false" outlineLevel="0" collapsed="false">
      <c r="A55" s="6" t="n">
        <v>43048</v>
      </c>
      <c r="B55" s="7" t="s">
        <v>65</v>
      </c>
      <c r="C55" s="8" t="s">
        <v>22</v>
      </c>
      <c r="D55" s="8" t="s">
        <v>13</v>
      </c>
      <c r="E55" s="9" t="n">
        <v>4.5</v>
      </c>
      <c r="F55" s="7"/>
      <c r="G55" s="10" t="n">
        <f aca="false">YEAR(Zeiterfassung[[#This Row],[Datum]])</f>
        <v>2017</v>
      </c>
      <c r="H55" s="10" t="n">
        <f aca="false">WEEKNUM(A55,2)</f>
        <v>46</v>
      </c>
      <c r="J55" s="0"/>
    </row>
    <row r="56" customFormat="false" ht="13.8" hidden="false" customHeight="false" outlineLevel="0" collapsed="false">
      <c r="A56" s="6" t="n">
        <v>43049</v>
      </c>
      <c r="B56" s="7" t="s">
        <v>66</v>
      </c>
      <c r="C56" s="8" t="s">
        <v>22</v>
      </c>
      <c r="D56" s="8" t="s">
        <v>13</v>
      </c>
      <c r="E56" s="9" t="n">
        <v>2</v>
      </c>
      <c r="F56" s="7"/>
      <c r="G56" s="10" t="n">
        <f aca="false">YEAR(Zeiterfassung[[#This Row],[Datum]])</f>
        <v>2017</v>
      </c>
      <c r="H56" s="10" t="n">
        <f aca="false">WEEKNUM(A56,2)</f>
        <v>46</v>
      </c>
      <c r="J56" s="0"/>
    </row>
    <row r="57" customFormat="false" ht="13.8" hidden="false" customHeight="false" outlineLevel="0" collapsed="false">
      <c r="A57" s="6" t="n">
        <v>43049</v>
      </c>
      <c r="B57" s="7" t="s">
        <v>67</v>
      </c>
      <c r="C57" s="8" t="s">
        <v>22</v>
      </c>
      <c r="D57" s="8" t="s">
        <v>13</v>
      </c>
      <c r="E57" s="9" t="n">
        <v>1</v>
      </c>
      <c r="F57" s="7"/>
      <c r="G57" s="10" t="n">
        <f aca="false">YEAR(Zeiterfassung[[#This Row],[Datum]])</f>
        <v>2017</v>
      </c>
      <c r="H57" s="10" t="n">
        <f aca="false">WEEKNUM(A57,2)</f>
        <v>46</v>
      </c>
      <c r="J57" s="0"/>
    </row>
    <row r="58" customFormat="false" ht="13.8" hidden="false" customHeight="false" outlineLevel="0" collapsed="false">
      <c r="A58" s="6" t="n">
        <v>43052</v>
      </c>
      <c r="B58" s="7" t="s">
        <v>68</v>
      </c>
      <c r="C58" s="8" t="s">
        <v>22</v>
      </c>
      <c r="D58" s="8" t="s">
        <v>13</v>
      </c>
      <c r="E58" s="9" t="n">
        <v>3</v>
      </c>
      <c r="F58" s="7"/>
      <c r="G58" s="10" t="n">
        <f aca="false">YEAR(Zeiterfassung[[#This Row],[Datum]])</f>
        <v>2017</v>
      </c>
      <c r="H58" s="10" t="n">
        <f aca="false">WEEKNUM(A58,2)</f>
        <v>47</v>
      </c>
      <c r="J58" s="0"/>
    </row>
    <row r="59" customFormat="false" ht="13.8" hidden="false" customHeight="false" outlineLevel="0" collapsed="false">
      <c r="A59" s="6" t="n">
        <v>43055</v>
      </c>
      <c r="B59" s="7" t="s">
        <v>69</v>
      </c>
      <c r="C59" s="8" t="s">
        <v>22</v>
      </c>
      <c r="D59" s="8" t="s">
        <v>13</v>
      </c>
      <c r="E59" s="9" t="n">
        <v>1</v>
      </c>
      <c r="F59" s="7"/>
      <c r="G59" s="10" t="n">
        <f aca="false">YEAR(Zeiterfassung[[#This Row],[Datum]])</f>
        <v>2017</v>
      </c>
      <c r="H59" s="10" t="n">
        <f aca="false">WEEKNUM(A59,2)</f>
        <v>47</v>
      </c>
      <c r="J59" s="0"/>
    </row>
    <row r="60" customFormat="false" ht="13.8" hidden="false" customHeight="false" outlineLevel="0" collapsed="false">
      <c r="A60" s="6" t="n">
        <v>43057</v>
      </c>
      <c r="B60" s="7" t="s">
        <v>70</v>
      </c>
      <c r="C60" s="8" t="s">
        <v>22</v>
      </c>
      <c r="D60" s="8" t="s">
        <v>13</v>
      </c>
      <c r="E60" s="9" t="n">
        <v>1</v>
      </c>
      <c r="F60" s="7"/>
      <c r="G60" s="10" t="n">
        <f aca="false">YEAR(Zeiterfassung[[#This Row],[Datum]])</f>
        <v>2017</v>
      </c>
      <c r="H60" s="10" t="n">
        <f aca="false">WEEKNUM(A60,2)</f>
        <v>47</v>
      </c>
      <c r="J60" s="0"/>
    </row>
    <row r="61" customFormat="false" ht="13.8" hidden="false" customHeight="false" outlineLevel="0" collapsed="false">
      <c r="A61" s="6" t="n">
        <v>43058</v>
      </c>
      <c r="B61" s="7" t="s">
        <v>71</v>
      </c>
      <c r="C61" s="8" t="s">
        <v>22</v>
      </c>
      <c r="D61" s="8" t="s">
        <v>13</v>
      </c>
      <c r="E61" s="9" t="n">
        <v>1</v>
      </c>
      <c r="F61" s="7"/>
      <c r="G61" s="10" t="n">
        <f aca="false">YEAR(Zeiterfassung[[#This Row],[Datum]])</f>
        <v>2017</v>
      </c>
      <c r="H61" s="10" t="n">
        <f aca="false">WEEKNUM(A61,2)</f>
        <v>47</v>
      </c>
      <c r="J61" s="0"/>
    </row>
    <row r="62" customFormat="false" ht="13.8" hidden="false" customHeight="false" outlineLevel="0" collapsed="false">
      <c r="A62" s="6" t="n">
        <v>43059</v>
      </c>
      <c r="B62" s="7" t="s">
        <v>72</v>
      </c>
      <c r="C62" s="8" t="s">
        <v>22</v>
      </c>
      <c r="D62" s="8" t="s">
        <v>13</v>
      </c>
      <c r="E62" s="9" t="n">
        <v>1</v>
      </c>
      <c r="F62" s="7"/>
      <c r="G62" s="10" t="n">
        <f aca="false">YEAR(Zeiterfassung[[#This Row],[Datum]])</f>
        <v>2017</v>
      </c>
      <c r="H62" s="10" t="n">
        <f aca="false">WEEKNUM(A62,2)</f>
        <v>48</v>
      </c>
      <c r="J62" s="0"/>
    </row>
    <row r="63" customFormat="false" ht="13.8" hidden="false" customHeight="false" outlineLevel="0" collapsed="false">
      <c r="A63" s="6" t="n">
        <v>43060</v>
      </c>
      <c r="B63" s="7" t="s">
        <v>73</v>
      </c>
      <c r="C63" s="8" t="s">
        <v>22</v>
      </c>
      <c r="D63" s="8" t="s">
        <v>13</v>
      </c>
      <c r="E63" s="9" t="n">
        <v>3.5</v>
      </c>
      <c r="F63" s="7"/>
      <c r="G63" s="10" t="n">
        <f aca="false">YEAR(Zeiterfassung[[#This Row],[Datum]])</f>
        <v>2017</v>
      </c>
      <c r="H63" s="10" t="n">
        <f aca="false">WEEKNUM(A63,2)</f>
        <v>48</v>
      </c>
      <c r="J63" s="0"/>
    </row>
    <row r="64" customFormat="false" ht="13.8" hidden="false" customHeight="false" outlineLevel="0" collapsed="false">
      <c r="A64" s="6" t="n">
        <v>43060</v>
      </c>
      <c r="B64" s="7" t="s">
        <v>74</v>
      </c>
      <c r="C64" s="8" t="s">
        <v>22</v>
      </c>
      <c r="D64" s="8" t="s">
        <v>13</v>
      </c>
      <c r="E64" s="9" t="n">
        <v>5</v>
      </c>
      <c r="F64" s="7"/>
      <c r="G64" s="10" t="n">
        <f aca="false">YEAR(Zeiterfassung[[#This Row],[Datum]])</f>
        <v>2017</v>
      </c>
      <c r="H64" s="10" t="n">
        <f aca="false">WEEKNUM(A64,2)</f>
        <v>48</v>
      </c>
      <c r="J64" s="0"/>
    </row>
    <row r="65" customFormat="false" ht="13.8" hidden="false" customHeight="false" outlineLevel="0" collapsed="false">
      <c r="A65" s="6" t="n">
        <v>43061</v>
      </c>
      <c r="B65" s="7" t="s">
        <v>75</v>
      </c>
      <c r="C65" s="8" t="s">
        <v>22</v>
      </c>
      <c r="D65" s="8" t="s">
        <v>13</v>
      </c>
      <c r="E65" s="9" t="n">
        <v>4</v>
      </c>
      <c r="F65" s="7"/>
      <c r="G65" s="10" t="n">
        <f aca="false">YEAR(Zeiterfassung[[#This Row],[Datum]])</f>
        <v>2017</v>
      </c>
      <c r="H65" s="10" t="n">
        <f aca="false">WEEKNUM(A65,2)</f>
        <v>48</v>
      </c>
      <c r="J65" s="0"/>
    </row>
    <row r="66" customFormat="false" ht="13.8" hidden="false" customHeight="false" outlineLevel="0" collapsed="false">
      <c r="A66" s="6" t="n">
        <v>43061</v>
      </c>
      <c r="B66" s="7" t="s">
        <v>76</v>
      </c>
      <c r="C66" s="8" t="s">
        <v>17</v>
      </c>
      <c r="D66" s="8" t="s">
        <v>13</v>
      </c>
      <c r="E66" s="9" t="n">
        <v>2</v>
      </c>
      <c r="F66" s="7"/>
      <c r="G66" s="10" t="n">
        <f aca="false">YEAR(Zeiterfassung[[#This Row],[Datum]])</f>
        <v>2017</v>
      </c>
      <c r="H66" s="10" t="n">
        <f aca="false">WEEKNUM(A66,2)</f>
        <v>48</v>
      </c>
      <c r="J66" s="0"/>
    </row>
    <row r="67" customFormat="false" ht="13.8" hidden="false" customHeight="false" outlineLevel="0" collapsed="false">
      <c r="A67" s="6" t="n">
        <v>43061</v>
      </c>
      <c r="B67" s="7" t="s">
        <v>77</v>
      </c>
      <c r="C67" s="8" t="s">
        <v>22</v>
      </c>
      <c r="D67" s="8" t="s">
        <v>13</v>
      </c>
      <c r="E67" s="9" t="n">
        <v>3.5</v>
      </c>
      <c r="F67" s="7"/>
      <c r="G67" s="10" t="n">
        <f aca="false">YEAR(Zeiterfassung[[#This Row],[Datum]])</f>
        <v>2017</v>
      </c>
      <c r="H67" s="10" t="n">
        <f aca="false">WEEKNUM(A67,2)</f>
        <v>48</v>
      </c>
      <c r="J67" s="0"/>
    </row>
    <row r="68" customFormat="false" ht="13.8" hidden="false" customHeight="false" outlineLevel="0" collapsed="false">
      <c r="A68" s="6" t="n">
        <v>43062</v>
      </c>
      <c r="B68" s="7" t="s">
        <v>78</v>
      </c>
      <c r="C68" s="8" t="s">
        <v>22</v>
      </c>
      <c r="D68" s="8" t="s">
        <v>13</v>
      </c>
      <c r="E68" s="9" t="n">
        <v>4</v>
      </c>
      <c r="F68" s="7"/>
      <c r="G68" s="10" t="n">
        <f aca="false">YEAR(Zeiterfassung[[#This Row],[Datum]])</f>
        <v>2017</v>
      </c>
      <c r="H68" s="10" t="n">
        <f aca="false">WEEKNUM(A68,2)</f>
        <v>48</v>
      </c>
      <c r="J68" s="0"/>
    </row>
    <row r="69" customFormat="false" ht="13.8" hidden="false" customHeight="false" outlineLevel="0" collapsed="false">
      <c r="A69" s="6" t="n">
        <v>43062</v>
      </c>
      <c r="B69" s="7" t="s">
        <v>79</v>
      </c>
      <c r="C69" s="8" t="s">
        <v>22</v>
      </c>
      <c r="D69" s="8" t="s">
        <v>13</v>
      </c>
      <c r="E69" s="9" t="n">
        <v>4</v>
      </c>
      <c r="F69" s="7"/>
      <c r="G69" s="10" t="n">
        <f aca="false">YEAR(Zeiterfassung[[#This Row],[Datum]])</f>
        <v>2017</v>
      </c>
      <c r="H69" s="10" t="n">
        <f aca="false">WEEKNUM(A69,2)</f>
        <v>48</v>
      </c>
      <c r="J69" s="0"/>
    </row>
    <row r="70" customFormat="false" ht="13.8" hidden="false" customHeight="false" outlineLevel="0" collapsed="false">
      <c r="A70" s="6" t="n">
        <v>43063</v>
      </c>
      <c r="B70" s="7" t="s">
        <v>80</v>
      </c>
      <c r="C70" s="8" t="s">
        <v>22</v>
      </c>
      <c r="D70" s="8" t="s">
        <v>13</v>
      </c>
      <c r="E70" s="9" t="n">
        <v>3</v>
      </c>
      <c r="F70" s="7"/>
      <c r="G70" s="10" t="n">
        <f aca="false">YEAR(Zeiterfassung[[#This Row],[Datum]])</f>
        <v>2017</v>
      </c>
      <c r="H70" s="10" t="n">
        <f aca="false">WEEKNUM(A70,2)</f>
        <v>48</v>
      </c>
      <c r="J70" s="0"/>
    </row>
    <row r="71" customFormat="false" ht="13.8" hidden="false" customHeight="false" outlineLevel="0" collapsed="false">
      <c r="A71" s="6" t="n">
        <v>43063</v>
      </c>
      <c r="B71" s="7" t="s">
        <v>81</v>
      </c>
      <c r="C71" s="8" t="s">
        <v>22</v>
      </c>
      <c r="D71" s="8" t="s">
        <v>13</v>
      </c>
      <c r="E71" s="9" t="n">
        <v>6</v>
      </c>
      <c r="F71" s="7"/>
      <c r="G71" s="10" t="n">
        <f aca="false">YEAR(Zeiterfassung[[#This Row],[Datum]])</f>
        <v>2017</v>
      </c>
      <c r="H71" s="10" t="n">
        <f aca="false">WEEKNUM(A71,2)</f>
        <v>48</v>
      </c>
      <c r="J71" s="0"/>
    </row>
    <row r="72" customFormat="false" ht="13.8" hidden="false" customHeight="false" outlineLevel="0" collapsed="false">
      <c r="A72" s="6" t="n">
        <v>43067</v>
      </c>
      <c r="B72" s="7" t="s">
        <v>82</v>
      </c>
      <c r="C72" s="8" t="s">
        <v>22</v>
      </c>
      <c r="D72" s="8" t="s">
        <v>13</v>
      </c>
      <c r="E72" s="9" t="n">
        <v>4</v>
      </c>
      <c r="F72" s="7"/>
      <c r="G72" s="10" t="n">
        <f aca="false">YEAR(Zeiterfassung[[#This Row],[Datum]])</f>
        <v>2017</v>
      </c>
      <c r="H72" s="10" t="n">
        <f aca="false">WEEKNUM(A72,2)</f>
        <v>49</v>
      </c>
      <c r="J72" s="0"/>
    </row>
    <row r="73" customFormat="false" ht="13.8" hidden="false" customHeight="false" outlineLevel="0" collapsed="false">
      <c r="A73" s="6" t="n">
        <v>43068</v>
      </c>
      <c r="B73" s="7" t="s">
        <v>83</v>
      </c>
      <c r="C73" s="8" t="s">
        <v>17</v>
      </c>
      <c r="D73" s="8" t="s">
        <v>13</v>
      </c>
      <c r="E73" s="9" t="n">
        <v>1</v>
      </c>
      <c r="F73" s="7"/>
      <c r="G73" s="10" t="n">
        <f aca="false">YEAR(Zeiterfassung[[#This Row],[Datum]])</f>
        <v>2017</v>
      </c>
      <c r="H73" s="10" t="n">
        <f aca="false">WEEKNUM(A73,2)</f>
        <v>49</v>
      </c>
      <c r="J73" s="0"/>
    </row>
    <row r="74" customFormat="false" ht="13.8" hidden="false" customHeight="false" outlineLevel="0" collapsed="false">
      <c r="A74" s="6" t="n">
        <v>43068</v>
      </c>
      <c r="B74" s="7" t="s">
        <v>84</v>
      </c>
      <c r="C74" s="8" t="s">
        <v>22</v>
      </c>
      <c r="D74" s="8" t="s">
        <v>13</v>
      </c>
      <c r="E74" s="9" t="n">
        <v>3</v>
      </c>
      <c r="F74" s="7"/>
      <c r="G74" s="10" t="n">
        <f aca="false">YEAR(Zeiterfassung[[#This Row],[Datum]])</f>
        <v>2017</v>
      </c>
      <c r="H74" s="10" t="n">
        <f aca="false">WEEKNUM(A74,2)</f>
        <v>49</v>
      </c>
      <c r="J74" s="0"/>
    </row>
    <row r="75" customFormat="false" ht="13.8" hidden="false" customHeight="false" outlineLevel="0" collapsed="false">
      <c r="A75" s="6" t="n">
        <v>43068</v>
      </c>
      <c r="B75" s="7" t="s">
        <v>85</v>
      </c>
      <c r="C75" s="8" t="s">
        <v>22</v>
      </c>
      <c r="D75" s="8" t="s">
        <v>13</v>
      </c>
      <c r="E75" s="9" t="n">
        <v>1</v>
      </c>
      <c r="F75" s="7"/>
      <c r="G75" s="10" t="n">
        <f aca="false">YEAR(Zeiterfassung[[#This Row],[Datum]])</f>
        <v>2017</v>
      </c>
      <c r="H75" s="10" t="n">
        <f aca="false">WEEKNUM(A75,2)</f>
        <v>49</v>
      </c>
      <c r="J75" s="0"/>
    </row>
    <row r="76" customFormat="false" ht="13.8" hidden="false" customHeight="false" outlineLevel="0" collapsed="false">
      <c r="A76" s="6" t="n">
        <v>43069</v>
      </c>
      <c r="B76" s="7" t="s">
        <v>86</v>
      </c>
      <c r="C76" s="8" t="s">
        <v>22</v>
      </c>
      <c r="D76" s="8" t="s">
        <v>13</v>
      </c>
      <c r="E76" s="9" t="n">
        <v>2</v>
      </c>
      <c r="F76" s="7"/>
      <c r="G76" s="10" t="n">
        <f aca="false">YEAR(Zeiterfassung[[#This Row],[Datum]])</f>
        <v>2017</v>
      </c>
      <c r="H76" s="10" t="n">
        <f aca="false">WEEKNUM(A76,2)</f>
        <v>49</v>
      </c>
      <c r="J76" s="0"/>
    </row>
    <row r="77" customFormat="false" ht="13.8" hidden="false" customHeight="false" outlineLevel="0" collapsed="false">
      <c r="A77" s="6" t="n">
        <v>43069</v>
      </c>
      <c r="B77" s="7" t="s">
        <v>87</v>
      </c>
      <c r="C77" s="8" t="s">
        <v>22</v>
      </c>
      <c r="D77" s="8" t="s">
        <v>13</v>
      </c>
      <c r="E77" s="9" t="n">
        <v>2</v>
      </c>
      <c r="F77" s="7"/>
      <c r="G77" s="10" t="n">
        <f aca="false">YEAR(Zeiterfassung[[#This Row],[Datum]])</f>
        <v>2017</v>
      </c>
      <c r="H77" s="10" t="n">
        <f aca="false">WEEKNUM(A77,2)</f>
        <v>49</v>
      </c>
      <c r="J77" s="0"/>
    </row>
    <row r="78" customFormat="false" ht="13.8" hidden="false" customHeight="false" outlineLevel="0" collapsed="false">
      <c r="A78" s="6" t="n">
        <v>43069</v>
      </c>
      <c r="B78" s="7" t="s">
        <v>88</v>
      </c>
      <c r="C78" s="8" t="s">
        <v>22</v>
      </c>
      <c r="D78" s="8" t="s">
        <v>13</v>
      </c>
      <c r="E78" s="9" t="n">
        <v>1</v>
      </c>
      <c r="F78" s="7"/>
      <c r="G78" s="10" t="n">
        <f aca="false">YEAR(Zeiterfassung[[#This Row],[Datum]])</f>
        <v>2017</v>
      </c>
      <c r="H78" s="10" t="n">
        <f aca="false">WEEKNUM(A78,2)</f>
        <v>49</v>
      </c>
      <c r="J78" s="0"/>
    </row>
    <row r="79" customFormat="false" ht="13.8" hidden="false" customHeight="false" outlineLevel="0" collapsed="false">
      <c r="A79" s="6" t="n">
        <v>43070</v>
      </c>
      <c r="B79" s="7" t="s">
        <v>89</v>
      </c>
      <c r="C79" s="8" t="s">
        <v>22</v>
      </c>
      <c r="D79" s="8" t="s">
        <v>13</v>
      </c>
      <c r="E79" s="9" t="n">
        <v>3</v>
      </c>
      <c r="F79" s="7"/>
      <c r="G79" s="10" t="n">
        <f aca="false">YEAR(Zeiterfassung[[#This Row],[Datum]])</f>
        <v>2017</v>
      </c>
      <c r="H79" s="10" t="n">
        <f aca="false">WEEKNUM(A79,2)</f>
        <v>49</v>
      </c>
      <c r="J79" s="0"/>
    </row>
    <row r="80" customFormat="false" ht="13.8" hidden="false" customHeight="false" outlineLevel="0" collapsed="false">
      <c r="A80" s="6" t="n">
        <v>43071</v>
      </c>
      <c r="B80" s="7" t="s">
        <v>90</v>
      </c>
      <c r="C80" s="8" t="s">
        <v>22</v>
      </c>
      <c r="D80" s="8" t="s">
        <v>13</v>
      </c>
      <c r="E80" s="9" t="n">
        <v>1.5</v>
      </c>
      <c r="F80" s="7"/>
      <c r="G80" s="10" t="n">
        <f aca="false">YEAR(Zeiterfassung[[#This Row],[Datum]])</f>
        <v>2017</v>
      </c>
      <c r="H80" s="10" t="n">
        <f aca="false">WEEKNUM(A80,2)</f>
        <v>49</v>
      </c>
      <c r="J80" s="0"/>
    </row>
    <row r="81" customFormat="false" ht="13.8" hidden="false" customHeight="false" outlineLevel="0" collapsed="false">
      <c r="A81" s="6" t="n">
        <v>43072</v>
      </c>
      <c r="B81" s="7" t="s">
        <v>90</v>
      </c>
      <c r="C81" s="8" t="s">
        <v>22</v>
      </c>
      <c r="D81" s="8" t="s">
        <v>13</v>
      </c>
      <c r="E81" s="9" t="n">
        <v>1</v>
      </c>
      <c r="F81" s="7"/>
      <c r="G81" s="10" t="n">
        <f aca="false">YEAR(Zeiterfassung[[#This Row],[Datum]])</f>
        <v>2017</v>
      </c>
      <c r="H81" s="10" t="n">
        <f aca="false">WEEKNUM(A81,2)</f>
        <v>49</v>
      </c>
      <c r="J81" s="0"/>
    </row>
    <row r="82" customFormat="false" ht="13.8" hidden="false" customHeight="false" outlineLevel="0" collapsed="false">
      <c r="A82" s="6" t="n">
        <v>43073</v>
      </c>
      <c r="B82" s="7" t="s">
        <v>91</v>
      </c>
      <c r="C82" s="8" t="s">
        <v>17</v>
      </c>
      <c r="D82" s="8" t="s">
        <v>13</v>
      </c>
      <c r="E82" s="9" t="n">
        <v>2</v>
      </c>
      <c r="F82" s="7"/>
      <c r="G82" s="10" t="n">
        <f aca="false">YEAR(Zeiterfassung[[#This Row],[Datum]])</f>
        <v>2017</v>
      </c>
      <c r="H82" s="10" t="n">
        <f aca="false">WEEKNUM(A82,2)</f>
        <v>50</v>
      </c>
      <c r="J82" s="0"/>
    </row>
    <row r="83" customFormat="false" ht="13.8" hidden="false" customHeight="false" outlineLevel="0" collapsed="false">
      <c r="A83" s="6" t="n">
        <v>43073</v>
      </c>
      <c r="B83" s="7" t="s">
        <v>92</v>
      </c>
      <c r="C83" s="8" t="s">
        <v>22</v>
      </c>
      <c r="D83" s="8" t="s">
        <v>13</v>
      </c>
      <c r="E83" s="9" t="n">
        <v>2</v>
      </c>
      <c r="F83" s="7"/>
      <c r="G83" s="10" t="n">
        <f aca="false">YEAR(Zeiterfassung[[#This Row],[Datum]])</f>
        <v>2017</v>
      </c>
      <c r="H83" s="10" t="n">
        <f aca="false">WEEKNUM(A83,2)</f>
        <v>50</v>
      </c>
      <c r="J83" s="0"/>
    </row>
    <row r="84" customFormat="false" ht="13.8" hidden="false" customHeight="false" outlineLevel="0" collapsed="false">
      <c r="A84" s="6" t="n">
        <v>43075</v>
      </c>
      <c r="B84" s="7" t="s">
        <v>93</v>
      </c>
      <c r="C84" s="8" t="s">
        <v>17</v>
      </c>
      <c r="D84" s="8" t="s">
        <v>13</v>
      </c>
      <c r="E84" s="9" t="n">
        <v>1</v>
      </c>
      <c r="F84" s="7"/>
      <c r="G84" s="10" t="n">
        <f aca="false">YEAR(Zeiterfassung[[#This Row],[Datum]])</f>
        <v>2017</v>
      </c>
      <c r="H84" s="10" t="n">
        <f aca="false">WEEKNUM(A84,2)</f>
        <v>50</v>
      </c>
      <c r="J84" s="0"/>
    </row>
    <row r="85" customFormat="false" ht="13.8" hidden="false" customHeight="false" outlineLevel="0" collapsed="false">
      <c r="A85" s="6" t="n">
        <v>43075</v>
      </c>
      <c r="B85" s="7" t="s">
        <v>94</v>
      </c>
      <c r="C85" s="8" t="s">
        <v>12</v>
      </c>
      <c r="D85" s="8" t="s">
        <v>13</v>
      </c>
      <c r="E85" s="9" t="n">
        <v>1</v>
      </c>
      <c r="F85" s="7"/>
      <c r="G85" s="10" t="n">
        <f aca="false">YEAR(Zeiterfassung[[#This Row],[Datum]])</f>
        <v>2017</v>
      </c>
      <c r="H85" s="10" t="n">
        <f aca="false">WEEKNUM(A85,2)</f>
        <v>50</v>
      </c>
      <c r="J85" s="0"/>
    </row>
    <row r="86" customFormat="false" ht="13.8" hidden="false" customHeight="false" outlineLevel="0" collapsed="false">
      <c r="A86" s="6" t="n">
        <v>43075</v>
      </c>
      <c r="B86" s="7" t="s">
        <v>95</v>
      </c>
      <c r="C86" s="8" t="s">
        <v>22</v>
      </c>
      <c r="D86" s="8" t="s">
        <v>13</v>
      </c>
      <c r="E86" s="9" t="n">
        <v>2</v>
      </c>
      <c r="F86" s="7"/>
      <c r="G86" s="10" t="n">
        <f aca="false">YEAR(Zeiterfassung[[#This Row],[Datum]])</f>
        <v>2017</v>
      </c>
      <c r="H86" s="10" t="n">
        <f aca="false">WEEKNUM(A86,2)</f>
        <v>50</v>
      </c>
      <c r="J86" s="0"/>
    </row>
    <row r="87" customFormat="false" ht="13.8" hidden="false" customHeight="false" outlineLevel="0" collapsed="false">
      <c r="A87" s="6" t="n">
        <v>43076</v>
      </c>
      <c r="B87" s="7" t="s">
        <v>96</v>
      </c>
      <c r="C87" s="8" t="s">
        <v>22</v>
      </c>
      <c r="D87" s="8" t="s">
        <v>13</v>
      </c>
      <c r="E87" s="9" t="n">
        <v>2</v>
      </c>
      <c r="F87" s="7"/>
      <c r="G87" s="10" t="n">
        <f aca="false">YEAR(Zeiterfassung[[#This Row],[Datum]])</f>
        <v>2017</v>
      </c>
      <c r="H87" s="10" t="n">
        <f aca="false">WEEKNUM(A87,2)</f>
        <v>50</v>
      </c>
      <c r="J87" s="0"/>
    </row>
    <row r="88" customFormat="false" ht="13.8" hidden="false" customHeight="false" outlineLevel="0" collapsed="false">
      <c r="A88" s="6" t="n">
        <v>43076</v>
      </c>
      <c r="B88" s="7" t="s">
        <v>97</v>
      </c>
      <c r="C88" s="8" t="s">
        <v>22</v>
      </c>
      <c r="D88" s="8" t="s">
        <v>13</v>
      </c>
      <c r="E88" s="9" t="n">
        <v>2</v>
      </c>
      <c r="F88" s="7"/>
      <c r="G88" s="10" t="n">
        <f aca="false">YEAR(Zeiterfassung[[#This Row],[Datum]])</f>
        <v>2017</v>
      </c>
      <c r="H88" s="10" t="n">
        <f aca="false">WEEKNUM(A88,2)</f>
        <v>50</v>
      </c>
      <c r="J88" s="0"/>
    </row>
    <row r="89" customFormat="false" ht="13.8" hidden="false" customHeight="false" outlineLevel="0" collapsed="false">
      <c r="A89" s="6" t="n">
        <v>43077</v>
      </c>
      <c r="B89" s="7" t="s">
        <v>98</v>
      </c>
      <c r="C89" s="8" t="s">
        <v>22</v>
      </c>
      <c r="D89" s="8" t="s">
        <v>13</v>
      </c>
      <c r="E89" s="9" t="n">
        <v>2</v>
      </c>
      <c r="F89" s="7"/>
      <c r="G89" s="10" t="n">
        <f aca="false">YEAR(Zeiterfassung[[#This Row],[Datum]])</f>
        <v>2017</v>
      </c>
      <c r="H89" s="10" t="n">
        <f aca="false">WEEKNUM(A89,2)</f>
        <v>50</v>
      </c>
      <c r="J89" s="0"/>
    </row>
    <row r="90" customFormat="false" ht="13.8" hidden="false" customHeight="false" outlineLevel="0" collapsed="false">
      <c r="A90" s="6" t="n">
        <v>43080</v>
      </c>
      <c r="B90" s="7" t="s">
        <v>99</v>
      </c>
      <c r="C90" s="8" t="s">
        <v>22</v>
      </c>
      <c r="D90" s="8" t="s">
        <v>13</v>
      </c>
      <c r="E90" s="9" t="n">
        <v>1</v>
      </c>
      <c r="F90" s="7"/>
      <c r="G90" s="10" t="n">
        <f aca="false">YEAR(Zeiterfassung[[#This Row],[Datum]])</f>
        <v>2017</v>
      </c>
      <c r="H90" s="10" t="n">
        <f aca="false">WEEKNUM(A90,2)</f>
        <v>51</v>
      </c>
      <c r="J90" s="0"/>
    </row>
    <row r="91" customFormat="false" ht="13.8" hidden="false" customHeight="false" outlineLevel="0" collapsed="false">
      <c r="A91" s="6" t="n">
        <v>43080</v>
      </c>
      <c r="B91" s="7" t="s">
        <v>100</v>
      </c>
      <c r="C91" s="8" t="s">
        <v>22</v>
      </c>
      <c r="D91" s="8" t="s">
        <v>13</v>
      </c>
      <c r="E91" s="9" t="n">
        <v>1</v>
      </c>
      <c r="F91" s="7"/>
      <c r="G91" s="10" t="n">
        <f aca="false">YEAR(Zeiterfassung[[#This Row],[Datum]])</f>
        <v>2017</v>
      </c>
      <c r="H91" s="10" t="n">
        <f aca="false">WEEKNUM(A91,2)</f>
        <v>51</v>
      </c>
      <c r="J91" s="0"/>
    </row>
    <row r="92" customFormat="false" ht="13.8" hidden="false" customHeight="false" outlineLevel="0" collapsed="false">
      <c r="A92" s="6" t="n">
        <v>43081</v>
      </c>
      <c r="B92" s="7" t="s">
        <v>101</v>
      </c>
      <c r="C92" s="8" t="s">
        <v>22</v>
      </c>
      <c r="D92" s="8" t="s">
        <v>13</v>
      </c>
      <c r="E92" s="9" t="n">
        <v>2</v>
      </c>
      <c r="F92" s="7"/>
      <c r="G92" s="10" t="n">
        <f aca="false">YEAR(Zeiterfassung[[#This Row],[Datum]])</f>
        <v>2017</v>
      </c>
      <c r="H92" s="10" t="n">
        <f aca="false">WEEKNUM(A92,2)</f>
        <v>51</v>
      </c>
      <c r="J92" s="0"/>
    </row>
    <row r="93" customFormat="false" ht="13.8" hidden="false" customHeight="false" outlineLevel="0" collapsed="false">
      <c r="A93" s="6" t="n">
        <v>43082</v>
      </c>
      <c r="B93" s="7" t="s">
        <v>102</v>
      </c>
      <c r="C93" s="8" t="s">
        <v>17</v>
      </c>
      <c r="D93" s="8" t="s">
        <v>13</v>
      </c>
      <c r="E93" s="9" t="n">
        <v>3</v>
      </c>
      <c r="F93" s="7"/>
      <c r="G93" s="10" t="n">
        <f aca="false">YEAR(Zeiterfassung[[#This Row],[Datum]])</f>
        <v>2017</v>
      </c>
      <c r="H93" s="10" t="n">
        <f aca="false">WEEKNUM(A93,2)</f>
        <v>51</v>
      </c>
      <c r="J93" s="0"/>
    </row>
    <row r="94" customFormat="false" ht="13.8" hidden="false" customHeight="false" outlineLevel="0" collapsed="false">
      <c r="A94" s="6" t="n">
        <v>43082</v>
      </c>
      <c r="B94" s="7" t="s">
        <v>103</v>
      </c>
      <c r="C94" s="8" t="s">
        <v>22</v>
      </c>
      <c r="D94" s="8" t="s">
        <v>13</v>
      </c>
      <c r="E94" s="9" t="n">
        <v>2</v>
      </c>
      <c r="F94" s="7"/>
      <c r="G94" s="10" t="n">
        <f aca="false">YEAR(Zeiterfassung[[#This Row],[Datum]])</f>
        <v>2017</v>
      </c>
      <c r="H94" s="10" t="n">
        <f aca="false">WEEKNUM(A94,2)</f>
        <v>51</v>
      </c>
      <c r="J94" s="0"/>
    </row>
    <row r="95" customFormat="false" ht="13.8" hidden="false" customHeight="false" outlineLevel="0" collapsed="false">
      <c r="A95" s="6" t="n">
        <v>43083</v>
      </c>
      <c r="B95" s="7" t="s">
        <v>104</v>
      </c>
      <c r="C95" s="8" t="s">
        <v>22</v>
      </c>
      <c r="D95" s="8" t="s">
        <v>13</v>
      </c>
      <c r="E95" s="9" t="n">
        <v>2</v>
      </c>
      <c r="F95" s="7"/>
      <c r="G95" s="10" t="n">
        <f aca="false">YEAR(Zeiterfassung[[#This Row],[Datum]])</f>
        <v>2017</v>
      </c>
      <c r="H95" s="10" t="n">
        <f aca="false">WEEKNUM(A95,2)</f>
        <v>51</v>
      </c>
      <c r="J95" s="0"/>
    </row>
    <row r="96" customFormat="false" ht="13.8" hidden="false" customHeight="false" outlineLevel="0" collapsed="false">
      <c r="A96" s="6" t="n">
        <v>43083</v>
      </c>
      <c r="B96" s="7" t="s">
        <v>105</v>
      </c>
      <c r="C96" s="8" t="s">
        <v>106</v>
      </c>
      <c r="D96" s="8" t="s">
        <v>13</v>
      </c>
      <c r="E96" s="9" t="n">
        <v>1.5</v>
      </c>
      <c r="F96" s="7"/>
      <c r="G96" s="10" t="n">
        <f aca="false">YEAR(Zeiterfassung[[#This Row],[Datum]])</f>
        <v>2017</v>
      </c>
      <c r="H96" s="10" t="n">
        <f aca="false">WEEKNUM(A96,2)</f>
        <v>51</v>
      </c>
      <c r="J96" s="0"/>
    </row>
    <row r="97" customFormat="false" ht="13.8" hidden="false" customHeight="false" outlineLevel="0" collapsed="false">
      <c r="A97" s="6" t="n">
        <v>43084</v>
      </c>
      <c r="B97" s="7" t="s">
        <v>107</v>
      </c>
      <c r="C97" s="8" t="s">
        <v>22</v>
      </c>
      <c r="D97" s="8" t="s">
        <v>13</v>
      </c>
      <c r="E97" s="9" t="n">
        <v>1</v>
      </c>
      <c r="F97" s="7"/>
      <c r="G97" s="10" t="n">
        <f aca="false">YEAR(Zeiterfassung[[#This Row],[Datum]])</f>
        <v>2017</v>
      </c>
      <c r="H97" s="10" t="n">
        <f aca="false">WEEKNUM(A97,2)</f>
        <v>51</v>
      </c>
      <c r="J97" s="0"/>
    </row>
    <row r="98" customFormat="false" ht="13.8" hidden="false" customHeight="false" outlineLevel="0" collapsed="false">
      <c r="A98" s="6" t="n">
        <v>43084</v>
      </c>
      <c r="B98" s="7" t="s">
        <v>108</v>
      </c>
      <c r="C98" s="8" t="s">
        <v>22</v>
      </c>
      <c r="D98" s="8" t="s">
        <v>13</v>
      </c>
      <c r="E98" s="9" t="n">
        <v>1</v>
      </c>
      <c r="F98" s="7"/>
      <c r="G98" s="10" t="n">
        <f aca="false">YEAR(Zeiterfassung[[#This Row],[Datum]])</f>
        <v>2017</v>
      </c>
      <c r="H98" s="10" t="n">
        <f aca="false">WEEKNUM(A98,2)</f>
        <v>51</v>
      </c>
      <c r="J98" s="0"/>
    </row>
    <row r="99" customFormat="false" ht="13.8" hidden="false" customHeight="false" outlineLevel="0" collapsed="false">
      <c r="A99" s="6" t="n">
        <v>43085</v>
      </c>
      <c r="B99" s="7" t="s">
        <v>109</v>
      </c>
      <c r="C99" s="8" t="s">
        <v>22</v>
      </c>
      <c r="D99" s="8" t="s">
        <v>13</v>
      </c>
      <c r="E99" s="9" t="n">
        <v>1</v>
      </c>
      <c r="F99" s="7"/>
      <c r="G99" s="10" t="n">
        <f aca="false">YEAR(Zeiterfassung[[#This Row],[Datum]])</f>
        <v>2017</v>
      </c>
      <c r="H99" s="10" t="n">
        <f aca="false">WEEKNUM(A99,2)</f>
        <v>51</v>
      </c>
      <c r="J99" s="0"/>
    </row>
    <row r="100" customFormat="false" ht="13.8" hidden="false" customHeight="false" outlineLevel="0" collapsed="false">
      <c r="A100" s="6" t="n">
        <v>43087</v>
      </c>
      <c r="B100" s="7" t="s">
        <v>110</v>
      </c>
      <c r="C100" s="8" t="s">
        <v>22</v>
      </c>
      <c r="D100" s="8" t="s">
        <v>13</v>
      </c>
      <c r="E100" s="9" t="n">
        <v>1</v>
      </c>
      <c r="F100" s="7"/>
      <c r="G100" s="10" t="n">
        <f aca="false">YEAR(Zeiterfassung[[#This Row],[Datum]])</f>
        <v>2017</v>
      </c>
      <c r="H100" s="10" t="n">
        <f aca="false">WEEKNUM(A100,2)</f>
        <v>52</v>
      </c>
      <c r="J100" s="0"/>
    </row>
    <row r="101" customFormat="false" ht="13.8" hidden="false" customHeight="false" outlineLevel="0" collapsed="false">
      <c r="A101" s="6" t="n">
        <v>43087</v>
      </c>
      <c r="B101" s="7" t="s">
        <v>111</v>
      </c>
      <c r="C101" s="8" t="s">
        <v>22</v>
      </c>
      <c r="D101" s="8" t="s">
        <v>13</v>
      </c>
      <c r="E101" s="9" t="n">
        <v>3.5</v>
      </c>
      <c r="F101" s="7"/>
      <c r="G101" s="10" t="n">
        <f aca="false">YEAR(Zeiterfassung[[#This Row],[Datum]])</f>
        <v>2017</v>
      </c>
      <c r="H101" s="10" t="n">
        <f aca="false">WEEKNUM(A101,2)</f>
        <v>52</v>
      </c>
      <c r="J101" s="0"/>
    </row>
    <row r="102" customFormat="false" ht="13.8" hidden="false" customHeight="false" outlineLevel="0" collapsed="false">
      <c r="A102" s="6" t="n">
        <v>43088</v>
      </c>
      <c r="B102" s="7" t="s">
        <v>112</v>
      </c>
      <c r="C102" s="8" t="s">
        <v>22</v>
      </c>
      <c r="D102" s="8" t="s">
        <v>13</v>
      </c>
      <c r="E102" s="9" t="n">
        <v>1</v>
      </c>
      <c r="F102" s="7"/>
      <c r="G102" s="10" t="n">
        <f aca="false">YEAR(Zeiterfassung[[#This Row],[Datum]])</f>
        <v>2017</v>
      </c>
      <c r="H102" s="10" t="n">
        <f aca="false">WEEKNUM(A102,2)</f>
        <v>52</v>
      </c>
      <c r="J102" s="0"/>
    </row>
    <row r="103" customFormat="false" ht="13.8" hidden="false" customHeight="false" outlineLevel="0" collapsed="false">
      <c r="A103" s="6" t="n">
        <v>43088</v>
      </c>
      <c r="B103" s="7" t="s">
        <v>113</v>
      </c>
      <c r="C103" s="8" t="s">
        <v>22</v>
      </c>
      <c r="D103" s="8" t="s">
        <v>13</v>
      </c>
      <c r="E103" s="9" t="n">
        <v>1</v>
      </c>
      <c r="F103" s="7"/>
      <c r="G103" s="10" t="n">
        <f aca="false">YEAR(Zeiterfassung[[#This Row],[Datum]])</f>
        <v>2017</v>
      </c>
      <c r="H103" s="10" t="n">
        <f aca="false">WEEKNUM(A103,2)</f>
        <v>52</v>
      </c>
      <c r="J103" s="0"/>
    </row>
    <row r="104" customFormat="false" ht="13.8" hidden="false" customHeight="false" outlineLevel="0" collapsed="false">
      <c r="A104" s="6" t="n">
        <v>43088</v>
      </c>
      <c r="B104" s="7" t="s">
        <v>114</v>
      </c>
      <c r="C104" s="8" t="s">
        <v>22</v>
      </c>
      <c r="D104" s="8" t="s">
        <v>13</v>
      </c>
      <c r="E104" s="9" t="n">
        <v>2</v>
      </c>
      <c r="F104" s="7"/>
      <c r="G104" s="10" t="n">
        <f aca="false">YEAR(Zeiterfassung[[#This Row],[Datum]])</f>
        <v>2017</v>
      </c>
      <c r="H104" s="10" t="n">
        <f aca="false">WEEKNUM(A104,2)</f>
        <v>52</v>
      </c>
      <c r="J104" s="0"/>
    </row>
    <row r="105" customFormat="false" ht="13.8" hidden="false" customHeight="false" outlineLevel="0" collapsed="false">
      <c r="A105" s="6" t="n">
        <v>43089</v>
      </c>
      <c r="B105" s="7" t="s">
        <v>76</v>
      </c>
      <c r="C105" s="8" t="s">
        <v>17</v>
      </c>
      <c r="D105" s="8" t="s">
        <v>13</v>
      </c>
      <c r="E105" s="9" t="n">
        <v>2</v>
      </c>
      <c r="F105" s="7"/>
      <c r="G105" s="10" t="n">
        <f aca="false">YEAR(Zeiterfassung[[#This Row],[Datum]])</f>
        <v>2017</v>
      </c>
      <c r="H105" s="10" t="n">
        <f aca="false">WEEKNUM(A105,2)</f>
        <v>52</v>
      </c>
      <c r="J105" s="0"/>
    </row>
    <row r="106" customFormat="false" ht="13.8" hidden="false" customHeight="false" outlineLevel="0" collapsed="false">
      <c r="A106" s="6" t="n">
        <v>43089</v>
      </c>
      <c r="B106" s="7" t="s">
        <v>115</v>
      </c>
      <c r="C106" s="8" t="s">
        <v>22</v>
      </c>
      <c r="D106" s="8" t="s">
        <v>13</v>
      </c>
      <c r="E106" s="9" t="n">
        <v>1.5</v>
      </c>
      <c r="F106" s="7"/>
      <c r="G106" s="10" t="n">
        <f aca="false">YEAR(Zeiterfassung[[#This Row],[Datum]])</f>
        <v>2017</v>
      </c>
      <c r="H106" s="10" t="n">
        <f aca="false">WEEKNUM(A106,2)</f>
        <v>52</v>
      </c>
      <c r="J106" s="0"/>
    </row>
    <row r="107" customFormat="false" ht="13.8" hidden="false" customHeight="false" outlineLevel="0" collapsed="false">
      <c r="A107" s="6" t="n">
        <v>43090</v>
      </c>
      <c r="B107" s="7" t="s">
        <v>116</v>
      </c>
      <c r="C107" s="8" t="s">
        <v>22</v>
      </c>
      <c r="D107" s="8" t="s">
        <v>13</v>
      </c>
      <c r="E107" s="9" t="n">
        <v>1</v>
      </c>
      <c r="F107" s="7"/>
      <c r="G107" s="10" t="n">
        <f aca="false">YEAR(Zeiterfassung[[#This Row],[Datum]])</f>
        <v>2017</v>
      </c>
      <c r="H107" s="10" t="n">
        <f aca="false">WEEKNUM(A107,2)</f>
        <v>52</v>
      </c>
      <c r="J107" s="0"/>
    </row>
    <row r="108" customFormat="false" ht="13.8" hidden="false" customHeight="false" outlineLevel="0" collapsed="false">
      <c r="A108" s="6" t="n">
        <v>43090</v>
      </c>
      <c r="B108" s="7" t="s">
        <v>117</v>
      </c>
      <c r="C108" s="8" t="s">
        <v>22</v>
      </c>
      <c r="D108" s="8" t="s">
        <v>13</v>
      </c>
      <c r="E108" s="9" t="n">
        <v>2</v>
      </c>
      <c r="F108" s="7"/>
      <c r="G108" s="10" t="n">
        <f aca="false">YEAR(Zeiterfassung[[#This Row],[Datum]])</f>
        <v>2017</v>
      </c>
      <c r="H108" s="10" t="n">
        <f aca="false">WEEKNUM(A108,2)</f>
        <v>52</v>
      </c>
      <c r="J108" s="0"/>
    </row>
    <row r="109" customFormat="false" ht="13.8" hidden="false" customHeight="false" outlineLevel="0" collapsed="false">
      <c r="A109" s="6" t="n">
        <v>43090</v>
      </c>
      <c r="B109" s="7" t="s">
        <v>118</v>
      </c>
      <c r="C109" s="8" t="s">
        <v>22</v>
      </c>
      <c r="D109" s="8" t="s">
        <v>13</v>
      </c>
      <c r="E109" s="9" t="n">
        <v>1</v>
      </c>
      <c r="F109" s="7"/>
      <c r="G109" s="10" t="n">
        <f aca="false">YEAR(Zeiterfassung[[#This Row],[Datum]])</f>
        <v>2017</v>
      </c>
      <c r="H109" s="10" t="n">
        <f aca="false">WEEKNUM(A109,2)</f>
        <v>52</v>
      </c>
      <c r="J109" s="0"/>
    </row>
    <row r="110" customFormat="false" ht="13.8" hidden="false" customHeight="false" outlineLevel="0" collapsed="false">
      <c r="A110" s="6" t="n">
        <v>43096</v>
      </c>
      <c r="B110" s="7" t="s">
        <v>119</v>
      </c>
      <c r="C110" s="8" t="s">
        <v>22</v>
      </c>
      <c r="D110" s="8" t="s">
        <v>13</v>
      </c>
      <c r="E110" s="9" t="n">
        <v>2.5</v>
      </c>
      <c r="F110" s="7"/>
      <c r="G110" s="10" t="n">
        <f aca="false">YEAR(Zeiterfassung[[#This Row],[Datum]])</f>
        <v>2017</v>
      </c>
      <c r="H110" s="10" t="n">
        <f aca="false">WEEKNUM(A110,2)</f>
        <v>53</v>
      </c>
      <c r="J110" s="0"/>
    </row>
    <row r="111" customFormat="false" ht="13.8" hidden="false" customHeight="false" outlineLevel="0" collapsed="false">
      <c r="A111" s="6" t="n">
        <v>43096</v>
      </c>
      <c r="B111" s="7" t="s">
        <v>120</v>
      </c>
      <c r="C111" s="8" t="s">
        <v>22</v>
      </c>
      <c r="D111" s="8" t="s">
        <v>13</v>
      </c>
      <c r="E111" s="9" t="n">
        <v>3</v>
      </c>
      <c r="F111" s="7"/>
      <c r="G111" s="10" t="n">
        <f aca="false">YEAR(Zeiterfassung[[#This Row],[Datum]])</f>
        <v>2017</v>
      </c>
      <c r="H111" s="10" t="n">
        <f aca="false">WEEKNUM(A111,2)</f>
        <v>53</v>
      </c>
      <c r="J111" s="0"/>
    </row>
    <row r="112" customFormat="false" ht="13.8" hidden="false" customHeight="false" outlineLevel="0" collapsed="false">
      <c r="A112" s="6" t="n">
        <v>43097</v>
      </c>
      <c r="B112" s="7" t="s">
        <v>121</v>
      </c>
      <c r="C112" s="8" t="s">
        <v>22</v>
      </c>
      <c r="D112" s="8" t="s">
        <v>13</v>
      </c>
      <c r="E112" s="9" t="n">
        <v>4</v>
      </c>
      <c r="F112" s="7"/>
      <c r="G112" s="10" t="n">
        <f aca="false">YEAR(Zeiterfassung[[#This Row],[Datum]])</f>
        <v>2017</v>
      </c>
      <c r="H112" s="10" t="n">
        <f aca="false">WEEKNUM(A112,2)</f>
        <v>53</v>
      </c>
      <c r="J112" s="0"/>
    </row>
    <row r="113" customFormat="false" ht="13.8" hidden="false" customHeight="false" outlineLevel="0" collapsed="false">
      <c r="A113" s="6" t="n">
        <v>43097</v>
      </c>
      <c r="B113" s="7" t="s">
        <v>122</v>
      </c>
      <c r="C113" s="8" t="s">
        <v>22</v>
      </c>
      <c r="D113" s="8" t="s">
        <v>13</v>
      </c>
      <c r="E113" s="9" t="n">
        <v>1</v>
      </c>
      <c r="F113" s="7"/>
      <c r="G113" s="10" t="n">
        <f aca="false">YEAR(Zeiterfassung[[#This Row],[Datum]])</f>
        <v>2017</v>
      </c>
      <c r="H113" s="10" t="n">
        <f aca="false">WEEKNUM(A113,2)</f>
        <v>53</v>
      </c>
      <c r="J113" s="0"/>
    </row>
    <row r="114" customFormat="false" ht="13.8" hidden="false" customHeight="false" outlineLevel="0" collapsed="false">
      <c r="A114" s="6" t="n">
        <v>43097</v>
      </c>
      <c r="B114" s="7" t="s">
        <v>123</v>
      </c>
      <c r="C114" s="8" t="s">
        <v>22</v>
      </c>
      <c r="D114" s="8" t="s">
        <v>13</v>
      </c>
      <c r="E114" s="9" t="n">
        <v>3</v>
      </c>
      <c r="F114" s="7"/>
      <c r="G114" s="10" t="n">
        <f aca="false">YEAR(Zeiterfassung[[#This Row],[Datum]])</f>
        <v>2017</v>
      </c>
      <c r="H114" s="10" t="n">
        <f aca="false">WEEKNUM(A114,2)</f>
        <v>53</v>
      </c>
      <c r="J114" s="0"/>
    </row>
    <row r="115" customFormat="false" ht="13.8" hidden="false" customHeight="false" outlineLevel="0" collapsed="false">
      <c r="A115" s="6" t="n">
        <v>43098</v>
      </c>
      <c r="B115" s="7" t="s">
        <v>124</v>
      </c>
      <c r="C115" s="8" t="s">
        <v>17</v>
      </c>
      <c r="D115" s="8" t="s">
        <v>13</v>
      </c>
      <c r="E115" s="9" t="n">
        <v>1</v>
      </c>
      <c r="F115" s="7"/>
      <c r="G115" s="10" t="n">
        <f aca="false">YEAR(Zeiterfassung[[#This Row],[Datum]])</f>
        <v>2017</v>
      </c>
      <c r="H115" s="10" t="n">
        <f aca="false">WEEKNUM(A115,2)</f>
        <v>53</v>
      </c>
      <c r="J115" s="0"/>
    </row>
    <row r="116" customFormat="false" ht="13.8" hidden="false" customHeight="false" outlineLevel="0" collapsed="false">
      <c r="A116" s="6" t="n">
        <v>43098</v>
      </c>
      <c r="B116" s="7" t="s">
        <v>125</v>
      </c>
      <c r="C116" s="8" t="s">
        <v>106</v>
      </c>
      <c r="D116" s="8" t="s">
        <v>13</v>
      </c>
      <c r="E116" s="9" t="n">
        <v>4</v>
      </c>
      <c r="F116" s="7"/>
      <c r="G116" s="10" t="n">
        <f aca="false">YEAR(Zeiterfassung[[#This Row],[Datum]])</f>
        <v>2017</v>
      </c>
      <c r="H116" s="10" t="n">
        <f aca="false">WEEKNUM(A116,2)</f>
        <v>53</v>
      </c>
      <c r="J116" s="0"/>
    </row>
    <row r="117" customFormat="false" ht="13.8" hidden="false" customHeight="false" outlineLevel="0" collapsed="false">
      <c r="A117" s="6" t="n">
        <v>43101</v>
      </c>
      <c r="B117" s="7" t="s">
        <v>126</v>
      </c>
      <c r="C117" s="8" t="s">
        <v>22</v>
      </c>
      <c r="D117" s="8" t="s">
        <v>13</v>
      </c>
      <c r="E117" s="9" t="n">
        <v>0.5</v>
      </c>
      <c r="F117" s="7"/>
      <c r="G117" s="10" t="n">
        <f aca="false">YEAR(Zeiterfassung[[#This Row],[Datum]])</f>
        <v>2018</v>
      </c>
      <c r="H117" s="10" t="n">
        <f aca="false">WEEKNUM(A117,2)</f>
        <v>1</v>
      </c>
      <c r="J117" s="0"/>
    </row>
    <row r="118" customFormat="false" ht="13.8" hidden="false" customHeight="false" outlineLevel="0" collapsed="false">
      <c r="A118" s="6" t="n">
        <v>43101</v>
      </c>
      <c r="B118" s="7" t="s">
        <v>127</v>
      </c>
      <c r="C118" s="8" t="s">
        <v>22</v>
      </c>
      <c r="D118" s="8" t="s">
        <v>13</v>
      </c>
      <c r="E118" s="9" t="n">
        <v>0.5</v>
      </c>
      <c r="F118" s="7"/>
      <c r="G118" s="10" t="n">
        <f aca="false">YEAR(Zeiterfassung[[#This Row],[Datum]])</f>
        <v>2018</v>
      </c>
      <c r="H118" s="10" t="n">
        <f aca="false">WEEKNUM(A118,2)</f>
        <v>1</v>
      </c>
      <c r="J118" s="0"/>
    </row>
    <row r="119" customFormat="false" ht="13.8" hidden="false" customHeight="false" outlineLevel="0" collapsed="false">
      <c r="A119" s="6" t="n">
        <v>43101</v>
      </c>
      <c r="B119" s="7" t="s">
        <v>128</v>
      </c>
      <c r="C119" s="8" t="s">
        <v>22</v>
      </c>
      <c r="D119" s="8" t="s">
        <v>13</v>
      </c>
      <c r="E119" s="9" t="n">
        <v>2</v>
      </c>
      <c r="F119" s="7"/>
      <c r="G119" s="10" t="n">
        <f aca="false">YEAR(Zeiterfassung[[#This Row],[Datum]])</f>
        <v>2018</v>
      </c>
      <c r="H119" s="10" t="n">
        <f aca="false">WEEKNUM(A119,2)</f>
        <v>1</v>
      </c>
      <c r="J119" s="0"/>
    </row>
    <row r="120" customFormat="false" ht="13.8" hidden="false" customHeight="false" outlineLevel="0" collapsed="false">
      <c r="A120" s="6" t="n">
        <v>43102</v>
      </c>
      <c r="B120" s="7" t="s">
        <v>129</v>
      </c>
      <c r="C120" s="8" t="s">
        <v>22</v>
      </c>
      <c r="D120" s="8" t="s">
        <v>13</v>
      </c>
      <c r="E120" s="9" t="n">
        <v>5</v>
      </c>
      <c r="F120" s="7"/>
      <c r="G120" s="10" t="n">
        <f aca="false">YEAR(Zeiterfassung[[#This Row],[Datum]])</f>
        <v>2018</v>
      </c>
      <c r="H120" s="10" t="n">
        <f aca="false">WEEKNUM(A120,2)</f>
        <v>1</v>
      </c>
      <c r="J120" s="0"/>
    </row>
    <row r="121" customFormat="false" ht="13.8" hidden="false" customHeight="false" outlineLevel="0" collapsed="false">
      <c r="A121" s="6" t="n">
        <v>43102</v>
      </c>
      <c r="B121" s="7" t="s">
        <v>130</v>
      </c>
      <c r="C121" s="8" t="s">
        <v>106</v>
      </c>
      <c r="D121" s="8" t="s">
        <v>13</v>
      </c>
      <c r="E121" s="9" t="n">
        <v>2.5</v>
      </c>
      <c r="F121" s="7"/>
      <c r="G121" s="10" t="n">
        <f aca="false">YEAR(Zeiterfassung[[#This Row],[Datum]])</f>
        <v>2018</v>
      </c>
      <c r="H121" s="10" t="n">
        <f aca="false">WEEKNUM(A121,2)</f>
        <v>1</v>
      </c>
      <c r="J121" s="0"/>
    </row>
    <row r="122" customFormat="false" ht="13.8" hidden="false" customHeight="false" outlineLevel="0" collapsed="false">
      <c r="A122" s="6" t="n">
        <v>43103</v>
      </c>
      <c r="B122" s="7" t="s">
        <v>131</v>
      </c>
      <c r="C122" s="8" t="s">
        <v>22</v>
      </c>
      <c r="D122" s="8" t="s">
        <v>13</v>
      </c>
      <c r="E122" s="9" t="n">
        <v>2</v>
      </c>
      <c r="F122" s="7"/>
      <c r="G122" s="10" t="n">
        <f aca="false">YEAR(Zeiterfassung[[#This Row],[Datum]])</f>
        <v>2018</v>
      </c>
      <c r="H122" s="10" t="n">
        <f aca="false">WEEKNUM(A122,2)</f>
        <v>1</v>
      </c>
      <c r="J122" s="0"/>
    </row>
    <row r="123" customFormat="false" ht="13.8" hidden="false" customHeight="false" outlineLevel="0" collapsed="false">
      <c r="A123" s="6" t="n">
        <v>43103</v>
      </c>
      <c r="B123" s="7" t="s">
        <v>132</v>
      </c>
      <c r="C123" s="8" t="s">
        <v>22</v>
      </c>
      <c r="D123" s="8" t="s">
        <v>13</v>
      </c>
      <c r="E123" s="9" t="n">
        <v>0.5</v>
      </c>
      <c r="F123" s="7"/>
      <c r="G123" s="10" t="n">
        <f aca="false">YEAR(Zeiterfassung[[#This Row],[Datum]])</f>
        <v>2018</v>
      </c>
      <c r="H123" s="10" t="n">
        <f aca="false">WEEKNUM(A123,2)</f>
        <v>1</v>
      </c>
      <c r="J123" s="0"/>
    </row>
    <row r="124" customFormat="false" ht="13.8" hidden="false" customHeight="false" outlineLevel="0" collapsed="false">
      <c r="A124" s="6" t="n">
        <v>43103</v>
      </c>
      <c r="B124" s="7" t="s">
        <v>133</v>
      </c>
      <c r="C124" s="8" t="s">
        <v>106</v>
      </c>
      <c r="D124" s="8" t="s">
        <v>13</v>
      </c>
      <c r="E124" s="9" t="n">
        <v>2</v>
      </c>
      <c r="F124" s="7"/>
      <c r="G124" s="10" t="n">
        <f aca="false">YEAR(Zeiterfassung[[#This Row],[Datum]])</f>
        <v>2018</v>
      </c>
      <c r="H124" s="10" t="n">
        <f aca="false">WEEKNUM(A124,2)</f>
        <v>1</v>
      </c>
      <c r="J124" s="0"/>
    </row>
    <row r="125" customFormat="false" ht="13.8" hidden="false" customHeight="false" outlineLevel="0" collapsed="false">
      <c r="A125" s="6" t="n">
        <v>43104</v>
      </c>
      <c r="B125" s="7" t="s">
        <v>134</v>
      </c>
      <c r="C125" s="8" t="s">
        <v>22</v>
      </c>
      <c r="D125" s="8" t="s">
        <v>13</v>
      </c>
      <c r="E125" s="9" t="n">
        <v>0.5</v>
      </c>
      <c r="F125" s="7"/>
      <c r="G125" s="10" t="n">
        <f aca="false">YEAR(Zeiterfassung[[#This Row],[Datum]])</f>
        <v>2018</v>
      </c>
      <c r="H125" s="10" t="n">
        <f aca="false">WEEKNUM(A125,2)</f>
        <v>1</v>
      </c>
      <c r="J125" s="0"/>
    </row>
    <row r="126" customFormat="false" ht="13.8" hidden="false" customHeight="false" outlineLevel="0" collapsed="false">
      <c r="A126" s="6" t="n">
        <v>43104</v>
      </c>
      <c r="B126" s="0" t="s">
        <v>135</v>
      </c>
      <c r="C126" s="8" t="s">
        <v>22</v>
      </c>
      <c r="D126" s="8" t="s">
        <v>13</v>
      </c>
      <c r="E126" s="9" t="n">
        <v>2.5</v>
      </c>
      <c r="F126" s="7"/>
      <c r="G126" s="10" t="n">
        <f aca="false">YEAR(Zeiterfassung[[#This Row],[Datum]])</f>
        <v>2018</v>
      </c>
      <c r="H126" s="10" t="n">
        <f aca="false">WEEKNUM(A126,2)</f>
        <v>1</v>
      </c>
      <c r="J126" s="0"/>
    </row>
    <row r="127" customFormat="false" ht="13.8" hidden="false" customHeight="false" outlineLevel="0" collapsed="false">
      <c r="A127" s="6" t="n">
        <v>43108</v>
      </c>
      <c r="B127" s="7" t="s">
        <v>136</v>
      </c>
      <c r="C127" s="8" t="s">
        <v>22</v>
      </c>
      <c r="D127" s="8" t="s">
        <v>13</v>
      </c>
      <c r="E127" s="9" t="n">
        <v>3</v>
      </c>
      <c r="F127" s="7"/>
      <c r="G127" s="10" t="n">
        <f aca="false">YEAR(Zeiterfassung[[#This Row],[Datum]])</f>
        <v>2018</v>
      </c>
      <c r="H127" s="10" t="n">
        <f aca="false">WEEKNUM(A127,2)</f>
        <v>2</v>
      </c>
      <c r="J127" s="0"/>
    </row>
    <row r="128" customFormat="false" ht="13.8" hidden="false" customHeight="false" outlineLevel="0" collapsed="false">
      <c r="A128" s="6" t="n">
        <v>43109</v>
      </c>
      <c r="B128" s="7" t="s">
        <v>137</v>
      </c>
      <c r="C128" s="8" t="s">
        <v>22</v>
      </c>
      <c r="D128" s="8" t="s">
        <v>13</v>
      </c>
      <c r="E128" s="9" t="n">
        <v>1.5</v>
      </c>
      <c r="F128" s="7"/>
      <c r="G128" s="10" t="n">
        <f aca="false">YEAR(Zeiterfassung[[#This Row],[Datum]])</f>
        <v>2018</v>
      </c>
      <c r="H128" s="10" t="n">
        <f aca="false">WEEKNUM(A128,2)</f>
        <v>2</v>
      </c>
      <c r="J128" s="0"/>
    </row>
    <row r="129" customFormat="false" ht="13.8" hidden="false" customHeight="false" outlineLevel="0" collapsed="false">
      <c r="A129" s="6" t="n">
        <v>43109</v>
      </c>
      <c r="B129" s="7" t="s">
        <v>138</v>
      </c>
      <c r="C129" s="8" t="s">
        <v>17</v>
      </c>
      <c r="D129" s="8" t="s">
        <v>13</v>
      </c>
      <c r="E129" s="9" t="n">
        <v>1</v>
      </c>
      <c r="F129" s="7"/>
      <c r="G129" s="10" t="n">
        <f aca="false">YEAR(Zeiterfassung[[#This Row],[Datum]])</f>
        <v>2018</v>
      </c>
      <c r="H129" s="10" t="n">
        <f aca="false">WEEKNUM(A129,2)</f>
        <v>2</v>
      </c>
      <c r="J129" s="0"/>
    </row>
    <row r="130" customFormat="false" ht="13.8" hidden="false" customHeight="false" outlineLevel="0" collapsed="false">
      <c r="A130" s="6" t="n">
        <v>43109</v>
      </c>
      <c r="B130" s="7" t="s">
        <v>139</v>
      </c>
      <c r="C130" s="8" t="s">
        <v>106</v>
      </c>
      <c r="D130" s="8" t="s">
        <v>13</v>
      </c>
      <c r="E130" s="9" t="n">
        <v>2</v>
      </c>
      <c r="F130" s="7"/>
      <c r="G130" s="10" t="n">
        <f aca="false">YEAR(Zeiterfassung[[#This Row],[Datum]])</f>
        <v>2018</v>
      </c>
      <c r="H130" s="10" t="n">
        <f aca="false">WEEKNUM(A130,2)</f>
        <v>2</v>
      </c>
      <c r="J130" s="0"/>
    </row>
    <row r="131" customFormat="false" ht="13.8" hidden="false" customHeight="false" outlineLevel="0" collapsed="false">
      <c r="A131" s="6" t="n">
        <v>43110</v>
      </c>
      <c r="B131" s="7" t="s">
        <v>140</v>
      </c>
      <c r="C131" s="8" t="s">
        <v>17</v>
      </c>
      <c r="D131" s="8" t="s">
        <v>13</v>
      </c>
      <c r="E131" s="9" t="n">
        <v>1.5</v>
      </c>
      <c r="F131" s="7"/>
      <c r="G131" s="10" t="n">
        <f aca="false">YEAR(Zeiterfassung[[#This Row],[Datum]])</f>
        <v>2018</v>
      </c>
      <c r="H131" s="10" t="n">
        <f aca="false">WEEKNUM(A131,2)</f>
        <v>2</v>
      </c>
      <c r="J131" s="0"/>
    </row>
    <row r="132" customFormat="false" ht="13.8" hidden="false" customHeight="false" outlineLevel="0" collapsed="false">
      <c r="A132" s="6" t="n">
        <v>43110</v>
      </c>
      <c r="B132" s="7" t="s">
        <v>141</v>
      </c>
      <c r="C132" s="8" t="s">
        <v>106</v>
      </c>
      <c r="D132" s="8" t="s">
        <v>13</v>
      </c>
      <c r="E132" s="9" t="n">
        <v>3</v>
      </c>
      <c r="F132" s="7"/>
      <c r="G132" s="10" t="n">
        <f aca="false">YEAR(Zeiterfassung[[#This Row],[Datum]])</f>
        <v>2018</v>
      </c>
      <c r="H132" s="10" t="n">
        <f aca="false">WEEKNUM(A132,2)</f>
        <v>2</v>
      </c>
      <c r="J132" s="0"/>
    </row>
    <row r="133" customFormat="false" ht="13.8" hidden="false" customHeight="false" outlineLevel="0" collapsed="false">
      <c r="A133" s="6" t="n">
        <v>43111</v>
      </c>
      <c r="B133" s="7" t="s">
        <v>142</v>
      </c>
      <c r="C133" s="8" t="s">
        <v>106</v>
      </c>
      <c r="D133" s="8" t="s">
        <v>13</v>
      </c>
      <c r="E133" s="9" t="n">
        <v>3</v>
      </c>
      <c r="F133" s="7"/>
      <c r="G133" s="10" t="n">
        <f aca="false">YEAR(Zeiterfassung[[#This Row],[Datum]])</f>
        <v>2018</v>
      </c>
      <c r="H133" s="10" t="n">
        <f aca="false">WEEKNUM(A133,2)</f>
        <v>2</v>
      </c>
      <c r="J133" s="0"/>
    </row>
    <row r="134" customFormat="false" ht="13.8" hidden="false" customHeight="false" outlineLevel="0" collapsed="false">
      <c r="A134" s="6" t="n">
        <v>43111</v>
      </c>
      <c r="B134" s="7" t="s">
        <v>143</v>
      </c>
      <c r="C134" s="8" t="s">
        <v>17</v>
      </c>
      <c r="D134" s="8" t="s">
        <v>13</v>
      </c>
      <c r="E134" s="9" t="n">
        <v>0.5</v>
      </c>
      <c r="F134" s="7"/>
      <c r="G134" s="10" t="n">
        <f aca="false">YEAR(Zeiterfassung[[#This Row],[Datum]])</f>
        <v>2018</v>
      </c>
      <c r="H134" s="10" t="n">
        <f aca="false">WEEKNUM(A134,2)</f>
        <v>2</v>
      </c>
      <c r="J134" s="0"/>
    </row>
    <row r="135" customFormat="false" ht="13.8" hidden="false" customHeight="false" outlineLevel="0" collapsed="false">
      <c r="A135" s="6" t="n">
        <v>43112</v>
      </c>
      <c r="B135" s="7" t="s">
        <v>144</v>
      </c>
      <c r="C135" s="8" t="s">
        <v>106</v>
      </c>
      <c r="D135" s="8" t="s">
        <v>13</v>
      </c>
      <c r="E135" s="9" t="n">
        <v>3.5</v>
      </c>
      <c r="F135" s="7"/>
      <c r="G135" s="10" t="n">
        <f aca="false">YEAR(Zeiterfassung[[#This Row],[Datum]])</f>
        <v>2018</v>
      </c>
      <c r="H135" s="10" t="n">
        <f aca="false">WEEKNUM(A135,2)</f>
        <v>2</v>
      </c>
      <c r="J135" s="0"/>
    </row>
    <row r="136" customFormat="false" ht="13.8" hidden="false" customHeight="false" outlineLevel="0" collapsed="false">
      <c r="A136" s="6" t="n">
        <v>43115</v>
      </c>
      <c r="B136" s="7" t="s">
        <v>145</v>
      </c>
      <c r="C136" s="8" t="s">
        <v>106</v>
      </c>
      <c r="D136" s="8" t="s">
        <v>13</v>
      </c>
      <c r="E136" s="9" t="n">
        <v>4</v>
      </c>
      <c r="F136" s="7"/>
      <c r="G136" s="10" t="n">
        <f aca="false">YEAR(Zeiterfassung[[#This Row],[Datum]])</f>
        <v>2018</v>
      </c>
      <c r="H136" s="10" t="n">
        <f aca="false">WEEKNUM(A136,2)</f>
        <v>3</v>
      </c>
      <c r="J136" s="0"/>
    </row>
    <row r="137" customFormat="false" ht="13.8" hidden="false" customHeight="false" outlineLevel="0" collapsed="false">
      <c r="A137" s="6" t="n">
        <v>43117</v>
      </c>
      <c r="B137" s="7" t="s">
        <v>76</v>
      </c>
      <c r="C137" s="8" t="s">
        <v>17</v>
      </c>
      <c r="D137" s="8" t="s">
        <v>13</v>
      </c>
      <c r="E137" s="9" t="n">
        <v>2</v>
      </c>
      <c r="F137" s="7"/>
      <c r="G137" s="10" t="n">
        <f aca="false">YEAR(Zeiterfassung[[#This Row],[Datum]])</f>
        <v>2018</v>
      </c>
      <c r="H137" s="10" t="n">
        <f aca="false">WEEKNUM(A137,2)</f>
        <v>3</v>
      </c>
      <c r="J137" s="0"/>
    </row>
    <row r="138" customFormat="false" ht="13.8" hidden="false" customHeight="false" outlineLevel="0" collapsed="false">
      <c r="A138" s="6" t="n">
        <v>43117</v>
      </c>
      <c r="B138" s="7" t="s">
        <v>146</v>
      </c>
      <c r="C138" s="8" t="s">
        <v>106</v>
      </c>
      <c r="D138" s="8" t="s">
        <v>13</v>
      </c>
      <c r="E138" s="9" t="n">
        <v>1</v>
      </c>
      <c r="F138" s="7"/>
      <c r="G138" s="10" t="n">
        <f aca="false">YEAR(Zeiterfassung[[#This Row],[Datum]])</f>
        <v>2018</v>
      </c>
      <c r="H138" s="10" t="n">
        <f aca="false">WEEKNUM(A138,2)</f>
        <v>3</v>
      </c>
      <c r="J138" s="0"/>
    </row>
    <row r="139" customFormat="false" ht="13.8" hidden="false" customHeight="false" outlineLevel="0" collapsed="false">
      <c r="A139" s="6" t="n">
        <v>43118</v>
      </c>
      <c r="B139" s="7" t="s">
        <v>147</v>
      </c>
      <c r="C139" s="8" t="s">
        <v>106</v>
      </c>
      <c r="D139" s="8" t="s">
        <v>13</v>
      </c>
      <c r="E139" s="9" t="n">
        <v>4.25</v>
      </c>
      <c r="F139" s="7"/>
      <c r="G139" s="10" t="n">
        <f aca="false">YEAR(Zeiterfassung[[#This Row],[Datum]])</f>
        <v>2018</v>
      </c>
      <c r="H139" s="10" t="n">
        <f aca="false">WEEKNUM(A139,2)</f>
        <v>3</v>
      </c>
      <c r="J139" s="0"/>
    </row>
    <row r="140" customFormat="false" ht="13.8" hidden="false" customHeight="false" outlineLevel="0" collapsed="false">
      <c r="A140" s="6" t="n">
        <v>43122</v>
      </c>
      <c r="B140" s="7" t="s">
        <v>148</v>
      </c>
      <c r="C140" s="8" t="s">
        <v>106</v>
      </c>
      <c r="D140" s="8" t="s">
        <v>13</v>
      </c>
      <c r="E140" s="9" t="n">
        <v>3</v>
      </c>
      <c r="F140" s="7"/>
      <c r="G140" s="10" t="n">
        <f aca="false">YEAR(Zeiterfassung[[#This Row],[Datum]])</f>
        <v>2018</v>
      </c>
      <c r="H140" s="10" t="n">
        <f aca="false">WEEKNUM(A140,2)</f>
        <v>4</v>
      </c>
      <c r="J140" s="0"/>
    </row>
    <row r="141" customFormat="false" ht="13.8" hidden="false" customHeight="false" outlineLevel="0" collapsed="false">
      <c r="A141" s="6" t="n">
        <v>43123</v>
      </c>
      <c r="B141" s="7" t="s">
        <v>149</v>
      </c>
      <c r="C141" s="8" t="s">
        <v>106</v>
      </c>
      <c r="D141" s="8" t="s">
        <v>13</v>
      </c>
      <c r="E141" s="9" t="n">
        <v>3.25</v>
      </c>
      <c r="F141" s="7"/>
      <c r="G141" s="10" t="n">
        <f aca="false">YEAR(Zeiterfassung[[#This Row],[Datum]])</f>
        <v>2018</v>
      </c>
      <c r="H141" s="10" t="n">
        <f aca="false">WEEKNUM(A141,2)</f>
        <v>4</v>
      </c>
      <c r="J141" s="0"/>
    </row>
    <row r="142" customFormat="false" ht="13.8" hidden="false" customHeight="false" outlineLevel="0" collapsed="false">
      <c r="A142" s="6" t="n">
        <v>43124</v>
      </c>
      <c r="B142" s="7" t="s">
        <v>150</v>
      </c>
      <c r="C142" s="8" t="s">
        <v>106</v>
      </c>
      <c r="D142" s="8" t="s">
        <v>13</v>
      </c>
      <c r="E142" s="9" t="n">
        <v>3</v>
      </c>
      <c r="F142" s="7"/>
      <c r="G142" s="10" t="n">
        <f aca="false">YEAR(Zeiterfassung[[#This Row],[Datum]])</f>
        <v>2018</v>
      </c>
      <c r="H142" s="10" t="n">
        <f aca="false">WEEKNUM(A142,2)</f>
        <v>4</v>
      </c>
      <c r="J142" s="0"/>
    </row>
    <row r="143" customFormat="false" ht="13.8" hidden="false" customHeight="false" outlineLevel="0" collapsed="false">
      <c r="A143" s="6" t="n">
        <v>43124</v>
      </c>
      <c r="B143" s="7" t="s">
        <v>76</v>
      </c>
      <c r="C143" s="8" t="s">
        <v>17</v>
      </c>
      <c r="D143" s="8" t="s">
        <v>13</v>
      </c>
      <c r="E143" s="9" t="n">
        <v>2</v>
      </c>
      <c r="F143" s="7"/>
      <c r="G143" s="10" t="n">
        <f aca="false">YEAR(Zeiterfassung[[#This Row],[Datum]])</f>
        <v>2018</v>
      </c>
      <c r="H143" s="10" t="n">
        <f aca="false">WEEKNUM(A143,2)</f>
        <v>4</v>
      </c>
      <c r="J143" s="0"/>
    </row>
    <row r="144" customFormat="false" ht="13.8" hidden="false" customHeight="false" outlineLevel="0" collapsed="false">
      <c r="A144" s="6" t="n">
        <v>43124</v>
      </c>
      <c r="B144" s="7" t="s">
        <v>151</v>
      </c>
      <c r="C144" s="8" t="s">
        <v>106</v>
      </c>
      <c r="D144" s="8" t="s">
        <v>13</v>
      </c>
      <c r="E144" s="9" t="n">
        <v>5</v>
      </c>
      <c r="F144" s="7"/>
      <c r="G144" s="10" t="n">
        <f aca="false">YEAR(Zeiterfassung[[#This Row],[Datum]])</f>
        <v>2018</v>
      </c>
      <c r="H144" s="10" t="n">
        <f aca="false">WEEKNUM(A144,2)</f>
        <v>4</v>
      </c>
      <c r="J144" s="0"/>
    </row>
    <row r="145" customFormat="false" ht="13.8" hidden="false" customHeight="false" outlineLevel="0" collapsed="false">
      <c r="A145" s="6" t="n">
        <v>43126</v>
      </c>
      <c r="B145" s="7" t="s">
        <v>152</v>
      </c>
      <c r="C145" s="8" t="s">
        <v>106</v>
      </c>
      <c r="D145" s="8" t="s">
        <v>13</v>
      </c>
      <c r="E145" s="9" t="n">
        <v>3</v>
      </c>
      <c r="F145" s="7"/>
      <c r="G145" s="10" t="n">
        <f aca="false">YEAR(Zeiterfassung[[#This Row],[Datum]])</f>
        <v>2018</v>
      </c>
      <c r="H145" s="10" t="n">
        <f aca="false">WEEKNUM(A145,2)</f>
        <v>4</v>
      </c>
      <c r="J145" s="0"/>
    </row>
    <row r="146" customFormat="false" ht="13.8" hidden="false" customHeight="false" outlineLevel="0" collapsed="false">
      <c r="A146" s="6" t="n">
        <v>43128</v>
      </c>
      <c r="B146" s="7" t="s">
        <v>153</v>
      </c>
      <c r="C146" s="8" t="s">
        <v>106</v>
      </c>
      <c r="D146" s="8" t="s">
        <v>13</v>
      </c>
      <c r="E146" s="9" t="n">
        <v>2.5</v>
      </c>
      <c r="F146" s="7"/>
      <c r="G146" s="10" t="n">
        <f aca="false">YEAR(Zeiterfassung[[#This Row],[Datum]])</f>
        <v>2018</v>
      </c>
      <c r="H146" s="10" t="n">
        <f aca="false">WEEKNUM(A146,2)</f>
        <v>4</v>
      </c>
      <c r="J146" s="0"/>
    </row>
    <row r="147" customFormat="false" ht="13.8" hidden="false" customHeight="false" outlineLevel="0" collapsed="false">
      <c r="A147" s="6" t="n">
        <v>43129</v>
      </c>
      <c r="B147" s="7" t="s">
        <v>154</v>
      </c>
      <c r="C147" s="8" t="s">
        <v>106</v>
      </c>
      <c r="D147" s="8" t="s">
        <v>13</v>
      </c>
      <c r="E147" s="9" t="n">
        <v>2</v>
      </c>
      <c r="F147" s="7"/>
      <c r="G147" s="10" t="n">
        <f aca="false">YEAR(Zeiterfassung[[#This Row],[Datum]])</f>
        <v>2018</v>
      </c>
      <c r="H147" s="10" t="n">
        <f aca="false">WEEKNUM(A147,2)</f>
        <v>5</v>
      </c>
      <c r="J147" s="0"/>
    </row>
    <row r="148" customFormat="false" ht="13.8" hidden="false" customHeight="false" outlineLevel="0" collapsed="false">
      <c r="A148" s="6" t="n">
        <v>43132</v>
      </c>
      <c r="B148" s="7" t="s">
        <v>155</v>
      </c>
      <c r="C148" s="8" t="s">
        <v>106</v>
      </c>
      <c r="D148" s="8" t="s">
        <v>13</v>
      </c>
      <c r="E148" s="9" t="n">
        <v>4</v>
      </c>
      <c r="F148" s="7"/>
      <c r="G148" s="10" t="n">
        <f aca="false">YEAR(Zeiterfassung[[#This Row],[Datum]])</f>
        <v>2018</v>
      </c>
      <c r="H148" s="10" t="n">
        <f aca="false">WEEKNUM(A148,2)</f>
        <v>5</v>
      </c>
      <c r="J148" s="0"/>
    </row>
    <row r="149" customFormat="false" ht="13.8" hidden="false" customHeight="false" outlineLevel="0" collapsed="false">
      <c r="A149" s="6" t="n">
        <v>43133</v>
      </c>
      <c r="B149" s="7" t="s">
        <v>156</v>
      </c>
      <c r="C149" s="8" t="s">
        <v>106</v>
      </c>
      <c r="D149" s="8" t="s">
        <v>13</v>
      </c>
      <c r="E149" s="9" t="n">
        <v>1</v>
      </c>
      <c r="F149" s="7"/>
      <c r="G149" s="10" t="n">
        <f aca="false">YEAR(Zeiterfassung[[#This Row],[Datum]])</f>
        <v>2018</v>
      </c>
      <c r="H149" s="10" t="n">
        <f aca="false">WEEKNUM(A149,2)</f>
        <v>5</v>
      </c>
      <c r="J149" s="0"/>
    </row>
    <row r="150" customFormat="false" ht="13.8" hidden="false" customHeight="false" outlineLevel="0" collapsed="false">
      <c r="A150" s="6" t="n">
        <v>43136</v>
      </c>
      <c r="B150" s="7" t="s">
        <v>157</v>
      </c>
      <c r="C150" s="8" t="s">
        <v>106</v>
      </c>
      <c r="D150" s="8" t="s">
        <v>13</v>
      </c>
      <c r="E150" s="9" t="n">
        <v>3.75</v>
      </c>
      <c r="F150" s="7"/>
      <c r="G150" s="10" t="n">
        <f aca="false">YEAR(Zeiterfassung[[#This Row],[Datum]])</f>
        <v>2018</v>
      </c>
      <c r="H150" s="10" t="n">
        <f aca="false">WEEKNUM(A150,2)</f>
        <v>6</v>
      </c>
      <c r="J150" s="0"/>
    </row>
    <row r="151" customFormat="false" ht="13.8" hidden="false" customHeight="false" outlineLevel="0" collapsed="false">
      <c r="A151" s="6" t="n">
        <v>43137</v>
      </c>
      <c r="B151" s="7" t="s">
        <v>158</v>
      </c>
      <c r="C151" s="8" t="s">
        <v>106</v>
      </c>
      <c r="D151" s="8" t="s">
        <v>13</v>
      </c>
      <c r="E151" s="9" t="n">
        <v>2</v>
      </c>
      <c r="F151" s="7"/>
      <c r="G151" s="10" t="n">
        <f aca="false">YEAR(Zeiterfassung[[#This Row],[Datum]])</f>
        <v>2018</v>
      </c>
      <c r="H151" s="10" t="n">
        <f aca="false">WEEKNUM(A151,2)</f>
        <v>6</v>
      </c>
      <c r="J151" s="0"/>
    </row>
    <row r="152" customFormat="false" ht="13.8" hidden="false" customHeight="false" outlineLevel="0" collapsed="false">
      <c r="A152" s="6" t="n">
        <v>43138</v>
      </c>
      <c r="B152" s="7" t="s">
        <v>159</v>
      </c>
      <c r="C152" s="8" t="s">
        <v>17</v>
      </c>
      <c r="D152" s="8" t="s">
        <v>13</v>
      </c>
      <c r="E152" s="9" t="n">
        <v>1</v>
      </c>
      <c r="F152" s="7"/>
      <c r="G152" s="10" t="n">
        <f aca="false">YEAR(Zeiterfassung[[#This Row],[Datum]])</f>
        <v>2018</v>
      </c>
      <c r="H152" s="10" t="n">
        <f aca="false">WEEKNUM(A152,2)</f>
        <v>6</v>
      </c>
      <c r="J152" s="0"/>
    </row>
    <row r="153" customFormat="false" ht="13.8" hidden="false" customHeight="false" outlineLevel="0" collapsed="false">
      <c r="A153" s="6" t="n">
        <v>43138</v>
      </c>
      <c r="B153" s="7" t="s">
        <v>160</v>
      </c>
      <c r="C153" s="8" t="s">
        <v>106</v>
      </c>
      <c r="D153" s="8" t="s">
        <v>13</v>
      </c>
      <c r="E153" s="9" t="n">
        <v>0.5</v>
      </c>
      <c r="F153" s="7"/>
      <c r="G153" s="10" t="n">
        <f aca="false">YEAR(Zeiterfassung[[#This Row],[Datum]])</f>
        <v>2018</v>
      </c>
      <c r="H153" s="10" t="n">
        <f aca="false">WEEKNUM(A153,2)</f>
        <v>6</v>
      </c>
      <c r="J153" s="0"/>
    </row>
    <row r="154" customFormat="false" ht="13.8" hidden="false" customHeight="false" outlineLevel="0" collapsed="false">
      <c r="A154" s="6"/>
      <c r="B154" s="7"/>
      <c r="C154" s="8"/>
      <c r="D154" s="8"/>
      <c r="E154" s="9"/>
      <c r="F154" s="7"/>
      <c r="G154" s="10" t="n">
        <f aca="false">YEAR(Zeiterfassung[[#This Row],[Datum]])</f>
        <v>1899</v>
      </c>
      <c r="H154" s="10" t="n">
        <f aca="false">WEEKNUM(A154,2)</f>
        <v>53</v>
      </c>
      <c r="J154" s="0"/>
    </row>
    <row r="155" customFormat="false" ht="13.8" hidden="false" customHeight="false" outlineLevel="0" collapsed="false">
      <c r="A155" s="6"/>
      <c r="B155" s="7"/>
      <c r="C155" s="8"/>
      <c r="D155" s="8"/>
      <c r="E155" s="9"/>
      <c r="F155" s="7"/>
      <c r="G155" s="10" t="n">
        <f aca="false">YEAR(Zeiterfassung[[#This Row],[Datum]])</f>
        <v>1899</v>
      </c>
      <c r="H155" s="10" t="n">
        <f aca="false">WEEKNUM(A155,2)</f>
        <v>53</v>
      </c>
      <c r="J155" s="0"/>
    </row>
    <row r="156" customFormat="false" ht="13.8" hidden="false" customHeight="false" outlineLevel="0" collapsed="false">
      <c r="A156" s="6"/>
      <c r="B156" s="7"/>
      <c r="C156" s="8"/>
      <c r="D156" s="8"/>
      <c r="E156" s="9"/>
      <c r="F156" s="7"/>
      <c r="G156" s="10" t="n">
        <f aca="false">YEAR(Zeiterfassung[[#This Row],[Datum]])</f>
        <v>1899</v>
      </c>
      <c r="H156" s="10" t="n">
        <f aca="false">WEEKNUM(A156,2)</f>
        <v>53</v>
      </c>
      <c r="J156" s="0"/>
    </row>
    <row r="157" customFormat="false" ht="13.8" hidden="false" customHeight="false" outlineLevel="0" collapsed="false">
      <c r="A157" s="6"/>
      <c r="B157" s="7"/>
      <c r="C157" s="8"/>
      <c r="D157" s="8"/>
      <c r="E157" s="9"/>
      <c r="F157" s="7"/>
      <c r="G157" s="10" t="n">
        <f aca="false">YEAR(Zeiterfassung[[#This Row],[Datum]])</f>
        <v>1899</v>
      </c>
      <c r="H157" s="10" t="n">
        <f aca="false">WEEKNUM(A157,2)</f>
        <v>53</v>
      </c>
      <c r="J157" s="0"/>
    </row>
    <row r="158" customFormat="false" ht="13.8" hidden="false" customHeight="false" outlineLevel="0" collapsed="false">
      <c r="A158" s="6"/>
      <c r="B158" s="7"/>
      <c r="C158" s="8"/>
      <c r="D158" s="8"/>
      <c r="E158" s="9"/>
      <c r="F158" s="7"/>
      <c r="G158" s="10" t="n">
        <f aca="false">YEAR(Zeiterfassung[[#This Row],[Datum]])</f>
        <v>1899</v>
      </c>
      <c r="H158" s="10" t="n">
        <f aca="false">WEEKNUM(A158,2)</f>
        <v>53</v>
      </c>
      <c r="J158" s="0"/>
    </row>
    <row r="159" customFormat="false" ht="13.8" hidden="false" customHeight="false" outlineLevel="0" collapsed="false">
      <c r="A159" s="6"/>
      <c r="B159" s="7"/>
      <c r="C159" s="8"/>
      <c r="D159" s="8"/>
      <c r="E159" s="9"/>
      <c r="F159" s="7"/>
      <c r="G159" s="10" t="n">
        <f aca="false">YEAR(Zeiterfassung[[#This Row],[Datum]])</f>
        <v>1899</v>
      </c>
      <c r="H159" s="10" t="n">
        <f aca="false">WEEKNUM(A159,2)</f>
        <v>53</v>
      </c>
      <c r="J159" s="0"/>
    </row>
    <row r="160" customFormat="false" ht="13.8" hidden="false" customHeight="false" outlineLevel="0" collapsed="false">
      <c r="A160" s="6"/>
      <c r="B160" s="7"/>
      <c r="C160" s="8"/>
      <c r="D160" s="8"/>
      <c r="E160" s="9"/>
      <c r="F160" s="7"/>
      <c r="G160" s="10" t="n">
        <f aca="false">YEAR(Zeiterfassung[[#This Row],[Datum]])</f>
        <v>1899</v>
      </c>
      <c r="H160" s="10" t="n">
        <f aca="false">WEEKNUM(A160,2)</f>
        <v>53</v>
      </c>
      <c r="J160" s="0"/>
    </row>
    <row r="161" customFormat="false" ht="13.8" hidden="false" customHeight="false" outlineLevel="0" collapsed="false">
      <c r="A161" s="6"/>
      <c r="B161" s="7"/>
      <c r="C161" s="8"/>
      <c r="D161" s="8"/>
      <c r="E161" s="9"/>
      <c r="F161" s="7"/>
      <c r="G161" s="10" t="n">
        <f aca="false">YEAR(Zeiterfassung[[#This Row],[Datum]])</f>
        <v>1899</v>
      </c>
      <c r="H161" s="10" t="n">
        <f aca="false">WEEKNUM(A161,2)</f>
        <v>53</v>
      </c>
      <c r="J161" s="0"/>
    </row>
    <row r="162" customFormat="false" ht="13.8" hidden="false" customHeight="false" outlineLevel="0" collapsed="false">
      <c r="A162" s="6"/>
      <c r="B162" s="7"/>
      <c r="C162" s="8"/>
      <c r="D162" s="8"/>
      <c r="E162" s="9"/>
      <c r="F162" s="7"/>
      <c r="G162" s="10" t="n">
        <f aca="false">YEAR(Zeiterfassung[[#This Row],[Datum]])</f>
        <v>1899</v>
      </c>
      <c r="H162" s="10" t="n">
        <f aca="false">WEEKNUM(A162,2)</f>
        <v>53</v>
      </c>
      <c r="J162" s="0"/>
    </row>
    <row r="163" customFormat="false" ht="13.8" hidden="false" customHeight="false" outlineLevel="0" collapsed="false">
      <c r="A163" s="6"/>
      <c r="B163" s="7"/>
      <c r="C163" s="8"/>
      <c r="D163" s="8"/>
      <c r="E163" s="9"/>
      <c r="F163" s="7"/>
      <c r="G163" s="10" t="n">
        <f aca="false">YEAR(Zeiterfassung[[#This Row],[Datum]])</f>
        <v>1899</v>
      </c>
      <c r="H163" s="10" t="n">
        <f aca="false">WEEKNUM(A163,2)</f>
        <v>53</v>
      </c>
      <c r="J163" s="0"/>
    </row>
    <row r="164" customFormat="false" ht="13.8" hidden="false" customHeight="false" outlineLevel="0" collapsed="false">
      <c r="A164" s="6"/>
      <c r="B164" s="7"/>
      <c r="C164" s="8"/>
      <c r="D164" s="8"/>
      <c r="E164" s="9"/>
      <c r="F164" s="7"/>
      <c r="G164" s="10" t="n">
        <f aca="false">YEAR(Zeiterfassung[[#This Row],[Datum]])</f>
        <v>1899</v>
      </c>
      <c r="H164" s="10" t="n">
        <f aca="false">WEEKNUM(A164,2)</f>
        <v>53</v>
      </c>
      <c r="J164" s="0"/>
    </row>
    <row r="165" customFormat="false" ht="13.8" hidden="false" customHeight="false" outlineLevel="0" collapsed="false">
      <c r="A165" s="6"/>
      <c r="B165" s="7"/>
      <c r="C165" s="8"/>
      <c r="D165" s="8"/>
      <c r="E165" s="9"/>
      <c r="F165" s="7"/>
      <c r="G165" s="10" t="n">
        <f aca="false">YEAR(Zeiterfassung[[#This Row],[Datum]])</f>
        <v>1899</v>
      </c>
      <c r="H165" s="10" t="n">
        <f aca="false">WEEKNUM(A165,2)</f>
        <v>53</v>
      </c>
      <c r="J165" s="0"/>
    </row>
    <row r="166" customFormat="false" ht="13.8" hidden="false" customHeight="false" outlineLevel="0" collapsed="false">
      <c r="A166" s="6"/>
      <c r="B166" s="7"/>
      <c r="C166" s="8"/>
      <c r="D166" s="8"/>
      <c r="E166" s="9"/>
      <c r="F166" s="7"/>
      <c r="G166" s="10" t="n">
        <f aca="false">YEAR(Zeiterfassung[[#This Row],[Datum]])</f>
        <v>1899</v>
      </c>
      <c r="H166" s="10" t="n">
        <f aca="false">WEEKNUM(A166,2)</f>
        <v>53</v>
      </c>
      <c r="J166" s="0"/>
    </row>
    <row r="167" customFormat="false" ht="13.8" hidden="false" customHeight="false" outlineLevel="0" collapsed="false">
      <c r="A167" s="6"/>
      <c r="B167" s="7"/>
      <c r="C167" s="8"/>
      <c r="D167" s="8"/>
      <c r="E167" s="9"/>
      <c r="F167" s="7"/>
      <c r="G167" s="10" t="n">
        <f aca="false">YEAR(Zeiterfassung[[#This Row],[Datum]])</f>
        <v>1899</v>
      </c>
      <c r="H167" s="10" t="n">
        <f aca="false">WEEKNUM(A167,2)</f>
        <v>53</v>
      </c>
      <c r="J167" s="0"/>
    </row>
    <row r="168" customFormat="false" ht="13.8" hidden="false" customHeight="false" outlineLevel="0" collapsed="false">
      <c r="A168" s="6"/>
      <c r="B168" s="7"/>
      <c r="C168" s="8"/>
      <c r="D168" s="8"/>
      <c r="E168" s="9"/>
      <c r="F168" s="7"/>
      <c r="G168" s="10" t="n">
        <f aca="false">YEAR(Zeiterfassung[[#This Row],[Datum]])</f>
        <v>1899</v>
      </c>
      <c r="H168" s="10" t="n">
        <f aca="false">WEEKNUM(A168,2)</f>
        <v>53</v>
      </c>
      <c r="J168" s="0"/>
    </row>
    <row r="169" customFormat="false" ht="13.8" hidden="false" customHeight="false" outlineLevel="0" collapsed="false">
      <c r="A169" s="6"/>
      <c r="B169" s="7"/>
      <c r="C169" s="8"/>
      <c r="D169" s="8"/>
      <c r="E169" s="9"/>
      <c r="F169" s="7"/>
      <c r="G169" s="10" t="n">
        <f aca="false">YEAR(Zeiterfassung[[#This Row],[Datum]])</f>
        <v>1899</v>
      </c>
      <c r="H169" s="10" t="n">
        <f aca="false">WEEKNUM(A169,2)</f>
        <v>53</v>
      </c>
      <c r="J169" s="0"/>
    </row>
    <row r="170" customFormat="false" ht="13.8" hidden="false" customHeight="false" outlineLevel="0" collapsed="false">
      <c r="A170" s="6"/>
      <c r="B170" s="7"/>
      <c r="C170" s="8"/>
      <c r="D170" s="8"/>
      <c r="E170" s="9"/>
      <c r="F170" s="7"/>
      <c r="G170" s="10" t="n">
        <f aca="false">YEAR(Zeiterfassung[[#This Row],[Datum]])</f>
        <v>1899</v>
      </c>
      <c r="H170" s="10" t="n">
        <f aca="false">WEEKNUM(A170,2)</f>
        <v>53</v>
      </c>
      <c r="J170" s="0"/>
    </row>
    <row r="171" customFormat="false" ht="13.8" hidden="false" customHeight="false" outlineLevel="0" collapsed="false">
      <c r="A171" s="6"/>
      <c r="B171" s="7"/>
      <c r="C171" s="8"/>
      <c r="D171" s="8"/>
      <c r="E171" s="9"/>
      <c r="F171" s="7"/>
      <c r="G171" s="10" t="n">
        <f aca="false">YEAR(Zeiterfassung[[#This Row],[Datum]])</f>
        <v>1899</v>
      </c>
      <c r="H171" s="10" t="n">
        <f aca="false">WEEKNUM(A171,2)</f>
        <v>53</v>
      </c>
      <c r="J171" s="0"/>
    </row>
    <row r="172" customFormat="false" ht="13.8" hidden="false" customHeight="false" outlineLevel="0" collapsed="false">
      <c r="A172" s="6"/>
      <c r="B172" s="7"/>
      <c r="C172" s="8"/>
      <c r="D172" s="8"/>
      <c r="E172" s="9"/>
      <c r="F172" s="7"/>
      <c r="G172" s="10" t="n">
        <f aca="false">YEAR(Zeiterfassung[[#This Row],[Datum]])</f>
        <v>1899</v>
      </c>
      <c r="H172" s="10" t="n">
        <f aca="false">WEEKNUM(A172,2)</f>
        <v>53</v>
      </c>
      <c r="J172" s="0"/>
    </row>
    <row r="173" customFormat="false" ht="13.8" hidden="false" customHeight="false" outlineLevel="0" collapsed="false">
      <c r="A173" s="6"/>
      <c r="B173" s="7"/>
      <c r="C173" s="8"/>
      <c r="D173" s="8"/>
      <c r="E173" s="9"/>
      <c r="F173" s="7"/>
      <c r="G173" s="10" t="n">
        <f aca="false">YEAR(Zeiterfassung[[#This Row],[Datum]])</f>
        <v>1899</v>
      </c>
      <c r="H173" s="10" t="n">
        <f aca="false">WEEKNUM(A173,2)</f>
        <v>53</v>
      </c>
      <c r="J173" s="0"/>
    </row>
    <row r="174" customFormat="false" ht="13.8" hidden="false" customHeight="false" outlineLevel="0" collapsed="false">
      <c r="A174" s="6"/>
      <c r="B174" s="7"/>
      <c r="C174" s="8"/>
      <c r="D174" s="8"/>
      <c r="E174" s="9"/>
      <c r="F174" s="7"/>
      <c r="G174" s="10" t="n">
        <f aca="false">YEAR(Zeiterfassung[[#This Row],[Datum]])</f>
        <v>1899</v>
      </c>
      <c r="H174" s="10" t="n">
        <f aca="false">WEEKNUM(A174,2)</f>
        <v>53</v>
      </c>
      <c r="J174" s="0"/>
    </row>
    <row r="175" customFormat="false" ht="13.8" hidden="false" customHeight="false" outlineLevel="0" collapsed="false">
      <c r="A175" s="6"/>
      <c r="B175" s="7"/>
      <c r="C175" s="8"/>
      <c r="D175" s="8"/>
      <c r="E175" s="9"/>
      <c r="F175" s="7"/>
      <c r="G175" s="10" t="n">
        <f aca="false">YEAR(Zeiterfassung[[#This Row],[Datum]])</f>
        <v>1899</v>
      </c>
      <c r="H175" s="10" t="n">
        <f aca="false">WEEKNUM(A175,2)</f>
        <v>53</v>
      </c>
      <c r="J175" s="0"/>
    </row>
    <row r="176" customFormat="false" ht="13.8" hidden="false" customHeight="false" outlineLevel="0" collapsed="false">
      <c r="A176" s="6"/>
      <c r="B176" s="7"/>
      <c r="C176" s="8"/>
      <c r="D176" s="8"/>
      <c r="E176" s="9"/>
      <c r="F176" s="7"/>
      <c r="G176" s="10" t="n">
        <f aca="false">YEAR(Zeiterfassung[[#This Row],[Datum]])</f>
        <v>1899</v>
      </c>
      <c r="H176" s="10" t="n">
        <f aca="false">WEEKNUM(A176,2)</f>
        <v>53</v>
      </c>
      <c r="J176" s="0"/>
    </row>
    <row r="177" customFormat="false" ht="13.8" hidden="false" customHeight="false" outlineLevel="0" collapsed="false">
      <c r="A177" s="6"/>
      <c r="B177" s="7"/>
      <c r="C177" s="8"/>
      <c r="D177" s="8"/>
      <c r="E177" s="9"/>
      <c r="F177" s="7"/>
      <c r="G177" s="10" t="n">
        <f aca="false">YEAR(Zeiterfassung[[#This Row],[Datum]])</f>
        <v>1899</v>
      </c>
      <c r="H177" s="10" t="n">
        <f aca="false">WEEKNUM(A177,2)</f>
        <v>53</v>
      </c>
      <c r="J177" s="0"/>
    </row>
    <row r="178" customFormat="false" ht="13.8" hidden="false" customHeight="false" outlineLevel="0" collapsed="false">
      <c r="A178" s="6"/>
      <c r="B178" s="7"/>
      <c r="C178" s="8"/>
      <c r="D178" s="8"/>
      <c r="E178" s="9"/>
      <c r="F178" s="7"/>
      <c r="G178" s="10" t="n">
        <f aca="false">YEAR(Zeiterfassung[[#This Row],[Datum]])</f>
        <v>1899</v>
      </c>
      <c r="H178" s="10" t="n">
        <f aca="false">WEEKNUM(A178,2)</f>
        <v>53</v>
      </c>
      <c r="J178" s="0"/>
    </row>
    <row r="179" customFormat="false" ht="13.8" hidden="false" customHeight="false" outlineLevel="0" collapsed="false">
      <c r="A179" s="6"/>
      <c r="B179" s="7"/>
      <c r="C179" s="8"/>
      <c r="D179" s="8"/>
      <c r="E179" s="9"/>
      <c r="F179" s="7"/>
      <c r="G179" s="10" t="n">
        <f aca="false">YEAR(Zeiterfassung[[#This Row],[Datum]])</f>
        <v>1899</v>
      </c>
      <c r="H179" s="10" t="n">
        <f aca="false">WEEKNUM(A179,2)</f>
        <v>53</v>
      </c>
      <c r="J179" s="0"/>
    </row>
    <row r="180" customFormat="false" ht="13.8" hidden="false" customHeight="false" outlineLevel="0" collapsed="false">
      <c r="A180" s="6"/>
      <c r="B180" s="7"/>
      <c r="C180" s="8"/>
      <c r="D180" s="8"/>
      <c r="E180" s="9"/>
      <c r="F180" s="7"/>
      <c r="G180" s="10" t="n">
        <f aca="false">YEAR(Zeiterfassung[[#This Row],[Datum]])</f>
        <v>1899</v>
      </c>
      <c r="H180" s="10" t="n">
        <f aca="false">WEEKNUM(A180,2)</f>
        <v>53</v>
      </c>
      <c r="J180" s="0"/>
    </row>
    <row r="181" customFormat="false" ht="13.8" hidden="false" customHeight="false" outlineLevel="0" collapsed="false">
      <c r="A181" s="6"/>
      <c r="B181" s="7"/>
      <c r="C181" s="8"/>
      <c r="D181" s="8"/>
      <c r="E181" s="9"/>
      <c r="F181" s="7"/>
      <c r="G181" s="10" t="n">
        <f aca="false">YEAR(Zeiterfassung[[#This Row],[Datum]])</f>
        <v>1899</v>
      </c>
      <c r="H181" s="10" t="n">
        <f aca="false">WEEKNUM(A181,2)</f>
        <v>53</v>
      </c>
      <c r="J181" s="0"/>
    </row>
    <row r="182" customFormat="false" ht="13.8" hidden="false" customHeight="false" outlineLevel="0" collapsed="false">
      <c r="A182" s="6"/>
      <c r="B182" s="7"/>
      <c r="C182" s="8"/>
      <c r="D182" s="8"/>
      <c r="E182" s="9"/>
      <c r="F182" s="7"/>
      <c r="G182" s="10" t="n">
        <f aca="false">YEAR(Zeiterfassung[[#This Row],[Datum]])</f>
        <v>1899</v>
      </c>
      <c r="H182" s="10" t="n">
        <f aca="false">WEEKNUM(A182,2)</f>
        <v>53</v>
      </c>
      <c r="J182" s="0"/>
    </row>
    <row r="183" customFormat="false" ht="13.8" hidden="false" customHeight="false" outlineLevel="0" collapsed="false">
      <c r="A183" s="6"/>
      <c r="B183" s="7"/>
      <c r="C183" s="8"/>
      <c r="D183" s="8"/>
      <c r="E183" s="9"/>
      <c r="F183" s="7"/>
      <c r="G183" s="10" t="n">
        <f aca="false">YEAR(Zeiterfassung[[#This Row],[Datum]])</f>
        <v>1899</v>
      </c>
      <c r="H183" s="10" t="n">
        <f aca="false">WEEKNUM(A183,2)</f>
        <v>53</v>
      </c>
      <c r="J183" s="0"/>
    </row>
    <row r="184" customFormat="false" ht="13.8" hidden="false" customHeight="false" outlineLevel="0" collapsed="false">
      <c r="A184" s="6"/>
      <c r="B184" s="7"/>
      <c r="C184" s="8"/>
      <c r="D184" s="8"/>
      <c r="E184" s="9"/>
      <c r="F184" s="7"/>
      <c r="G184" s="10" t="n">
        <f aca="false">YEAR(Zeiterfassung[[#This Row],[Datum]])</f>
        <v>1899</v>
      </c>
      <c r="H184" s="10" t="n">
        <f aca="false">WEEKNUM(A184,2)</f>
        <v>53</v>
      </c>
      <c r="J184" s="0"/>
    </row>
    <row r="185" customFormat="false" ht="13.8" hidden="false" customHeight="false" outlineLevel="0" collapsed="false">
      <c r="A185" s="6"/>
      <c r="B185" s="7"/>
      <c r="C185" s="8"/>
      <c r="D185" s="8"/>
      <c r="E185" s="9"/>
      <c r="F185" s="7"/>
      <c r="G185" s="10" t="n">
        <f aca="false">YEAR(Zeiterfassung[[#This Row],[Datum]])</f>
        <v>1899</v>
      </c>
      <c r="H185" s="10" t="n">
        <f aca="false">WEEKNUM(A185,2)</f>
        <v>53</v>
      </c>
      <c r="J185" s="0"/>
    </row>
    <row r="186" customFormat="false" ht="13.8" hidden="false" customHeight="false" outlineLevel="0" collapsed="false">
      <c r="A186" s="6"/>
      <c r="B186" s="7"/>
      <c r="C186" s="8"/>
      <c r="D186" s="8"/>
      <c r="E186" s="9"/>
      <c r="F186" s="7"/>
      <c r="G186" s="10" t="n">
        <f aca="false">YEAR(Zeiterfassung[[#This Row],[Datum]])</f>
        <v>1899</v>
      </c>
      <c r="H186" s="10" t="n">
        <f aca="false">WEEKNUM(A186,2)</f>
        <v>53</v>
      </c>
      <c r="J186" s="0"/>
    </row>
    <row r="187" customFormat="false" ht="13.8" hidden="false" customHeight="false" outlineLevel="0" collapsed="false">
      <c r="A187" s="6"/>
      <c r="B187" s="7"/>
      <c r="C187" s="8"/>
      <c r="D187" s="8"/>
      <c r="E187" s="9"/>
      <c r="F187" s="7"/>
      <c r="G187" s="10" t="n">
        <f aca="false">YEAR(Zeiterfassung[[#This Row],[Datum]])</f>
        <v>1899</v>
      </c>
      <c r="H187" s="10" t="n">
        <f aca="false">WEEKNUM(A187,2)</f>
        <v>53</v>
      </c>
      <c r="J187" s="0"/>
    </row>
    <row r="188" customFormat="false" ht="13.8" hidden="false" customHeight="false" outlineLevel="0" collapsed="false">
      <c r="A188" s="6"/>
      <c r="B188" s="7"/>
      <c r="C188" s="8"/>
      <c r="D188" s="8"/>
      <c r="E188" s="9"/>
      <c r="F188" s="7"/>
      <c r="G188" s="10" t="n">
        <f aca="false">YEAR(Zeiterfassung[[#This Row],[Datum]])</f>
        <v>1899</v>
      </c>
      <c r="H188" s="10" t="n">
        <f aca="false">WEEKNUM(A188,2)</f>
        <v>53</v>
      </c>
      <c r="J188" s="0"/>
    </row>
    <row r="189" customFormat="false" ht="13.8" hidden="false" customHeight="false" outlineLevel="0" collapsed="false">
      <c r="A189" s="6"/>
      <c r="B189" s="7"/>
      <c r="C189" s="8"/>
      <c r="D189" s="8"/>
      <c r="E189" s="9"/>
      <c r="F189" s="7"/>
      <c r="G189" s="10" t="n">
        <f aca="false">YEAR(Zeiterfassung[[#This Row],[Datum]])</f>
        <v>1899</v>
      </c>
      <c r="H189" s="10" t="n">
        <f aca="false">WEEKNUM(A189,2)</f>
        <v>53</v>
      </c>
      <c r="J189" s="0"/>
    </row>
    <row r="190" customFormat="false" ht="13.8" hidden="false" customHeight="false" outlineLevel="0" collapsed="false">
      <c r="A190" s="6"/>
      <c r="B190" s="7"/>
      <c r="C190" s="8"/>
      <c r="D190" s="8"/>
      <c r="E190" s="9"/>
      <c r="F190" s="7"/>
      <c r="G190" s="10" t="n">
        <f aca="false">YEAR(Zeiterfassung[[#This Row],[Datum]])</f>
        <v>1899</v>
      </c>
      <c r="H190" s="10" t="n">
        <f aca="false">WEEKNUM(A190,2)</f>
        <v>53</v>
      </c>
      <c r="J190" s="0"/>
    </row>
    <row r="191" customFormat="false" ht="13.8" hidden="false" customHeight="false" outlineLevel="0" collapsed="false">
      <c r="A191" s="6"/>
      <c r="B191" s="7"/>
      <c r="C191" s="8"/>
      <c r="D191" s="8"/>
      <c r="E191" s="9"/>
      <c r="F191" s="7"/>
      <c r="G191" s="10" t="n">
        <f aca="false">YEAR(Zeiterfassung[[#This Row],[Datum]])</f>
        <v>1899</v>
      </c>
      <c r="H191" s="10" t="n">
        <f aca="false">WEEKNUM(A191,2)</f>
        <v>53</v>
      </c>
      <c r="J191" s="0"/>
    </row>
    <row r="192" customFormat="false" ht="13.8" hidden="false" customHeight="false" outlineLevel="0" collapsed="false">
      <c r="A192" s="6"/>
      <c r="B192" s="7"/>
      <c r="C192" s="8"/>
      <c r="D192" s="8"/>
      <c r="E192" s="9"/>
      <c r="F192" s="7"/>
      <c r="G192" s="10" t="n">
        <f aca="false">YEAR(Zeiterfassung[[#This Row],[Datum]])</f>
        <v>1899</v>
      </c>
      <c r="H192" s="10" t="n">
        <f aca="false">WEEKNUM(A192,2)</f>
        <v>53</v>
      </c>
      <c r="J192" s="0"/>
    </row>
    <row r="193" customFormat="false" ht="13.8" hidden="false" customHeight="false" outlineLevel="0" collapsed="false">
      <c r="A193" s="6"/>
      <c r="B193" s="7"/>
      <c r="C193" s="8"/>
      <c r="D193" s="8"/>
      <c r="E193" s="9"/>
      <c r="F193" s="7"/>
      <c r="G193" s="10" t="n">
        <f aca="false">YEAR(Zeiterfassung[[#This Row],[Datum]])</f>
        <v>1899</v>
      </c>
      <c r="H193" s="10" t="n">
        <f aca="false">WEEKNUM(A193,2)</f>
        <v>53</v>
      </c>
      <c r="J193" s="0"/>
    </row>
    <row r="194" customFormat="false" ht="13.8" hidden="false" customHeight="false" outlineLevel="0" collapsed="false">
      <c r="A194" s="6"/>
      <c r="B194" s="7"/>
      <c r="C194" s="8"/>
      <c r="D194" s="8"/>
      <c r="E194" s="9"/>
      <c r="F194" s="7"/>
      <c r="G194" s="10" t="n">
        <f aca="false">YEAR(Zeiterfassung[[#This Row],[Datum]])</f>
        <v>1899</v>
      </c>
      <c r="H194" s="10" t="n">
        <f aca="false">WEEKNUM(A194,2)</f>
        <v>53</v>
      </c>
      <c r="J194" s="0"/>
    </row>
    <row r="195" customFormat="false" ht="13.8" hidden="false" customHeight="false" outlineLevel="0" collapsed="false">
      <c r="A195" s="6"/>
      <c r="B195" s="7"/>
      <c r="C195" s="8"/>
      <c r="D195" s="8"/>
      <c r="E195" s="9"/>
      <c r="F195" s="7"/>
      <c r="G195" s="10" t="n">
        <f aca="false">YEAR(Zeiterfassung[[#This Row],[Datum]])</f>
        <v>1899</v>
      </c>
      <c r="H195" s="10" t="n">
        <f aca="false">WEEKNUM(A195,2)</f>
        <v>53</v>
      </c>
      <c r="J195" s="0"/>
    </row>
    <row r="196" customFormat="false" ht="13.8" hidden="false" customHeight="false" outlineLevel="0" collapsed="false">
      <c r="A196" s="6"/>
      <c r="B196" s="7"/>
      <c r="C196" s="8"/>
      <c r="D196" s="8"/>
      <c r="E196" s="9"/>
      <c r="F196" s="7"/>
      <c r="G196" s="10" t="n">
        <f aca="false">YEAR(Zeiterfassung[[#This Row],[Datum]])</f>
        <v>1899</v>
      </c>
      <c r="H196" s="10" t="n">
        <f aca="false">WEEKNUM(A196,2)</f>
        <v>53</v>
      </c>
      <c r="J196" s="0"/>
    </row>
    <row r="197" customFormat="false" ht="13.8" hidden="false" customHeight="false" outlineLevel="0" collapsed="false">
      <c r="A197" s="6"/>
      <c r="B197" s="7"/>
      <c r="C197" s="8"/>
      <c r="D197" s="8"/>
      <c r="E197" s="9"/>
      <c r="F197" s="7"/>
      <c r="G197" s="10" t="n">
        <f aca="false">YEAR(Zeiterfassung[[#This Row],[Datum]])</f>
        <v>1899</v>
      </c>
      <c r="H197" s="10" t="n">
        <f aca="false">WEEKNUM(A197,2)</f>
        <v>53</v>
      </c>
      <c r="J197" s="0"/>
    </row>
    <row r="198" customFormat="false" ht="13.8" hidden="false" customHeight="false" outlineLevel="0" collapsed="false">
      <c r="A198" s="6"/>
      <c r="B198" s="7"/>
      <c r="C198" s="8"/>
      <c r="D198" s="8"/>
      <c r="E198" s="9"/>
      <c r="F198" s="7"/>
      <c r="G198" s="10" t="n">
        <f aca="false">YEAR(Zeiterfassung[[#This Row],[Datum]])</f>
        <v>1899</v>
      </c>
      <c r="H198" s="10" t="n">
        <f aca="false">WEEKNUM(A198,2)</f>
        <v>53</v>
      </c>
      <c r="J198" s="0"/>
    </row>
    <row r="199" customFormat="false" ht="13.8" hidden="false" customHeight="false" outlineLevel="0" collapsed="false">
      <c r="A199" s="6"/>
      <c r="B199" s="7"/>
      <c r="C199" s="8"/>
      <c r="D199" s="8"/>
      <c r="E199" s="9"/>
      <c r="F199" s="7"/>
      <c r="G199" s="10" t="n">
        <f aca="false">YEAR(Zeiterfassung[[#This Row],[Datum]])</f>
        <v>1899</v>
      </c>
      <c r="H199" s="10" t="n">
        <f aca="false">WEEKNUM(A199,2)</f>
        <v>53</v>
      </c>
      <c r="J199" s="0"/>
    </row>
    <row r="200" customFormat="false" ht="13.8" hidden="false" customHeight="false" outlineLevel="0" collapsed="false">
      <c r="A200" s="6"/>
      <c r="B200" s="7"/>
      <c r="C200" s="8"/>
      <c r="D200" s="8"/>
      <c r="E200" s="9"/>
      <c r="F200" s="7"/>
      <c r="G200" s="10" t="n">
        <f aca="false">YEAR(Zeiterfassung[[#This Row],[Datum]])</f>
        <v>1899</v>
      </c>
      <c r="H200" s="10" t="n">
        <f aca="false">WEEKNUM(A200,2)</f>
        <v>53</v>
      </c>
      <c r="J200" s="0"/>
    </row>
    <row r="201" customFormat="false" ht="13.8" hidden="false" customHeight="false" outlineLevel="0" collapsed="false">
      <c r="A201" s="6"/>
      <c r="B201" s="7"/>
      <c r="C201" s="8"/>
      <c r="D201" s="8"/>
      <c r="E201" s="9"/>
      <c r="F201" s="7"/>
      <c r="G201" s="10" t="n">
        <f aca="false">YEAR(Zeiterfassung[[#This Row],[Datum]])</f>
        <v>1899</v>
      </c>
      <c r="H201" s="10" t="n">
        <f aca="false">WEEKNUM(A201,2)</f>
        <v>53</v>
      </c>
      <c r="J201" s="0"/>
    </row>
    <row r="202" customFormat="false" ht="13.8" hidden="false" customHeight="false" outlineLevel="0" collapsed="false">
      <c r="A202" s="6"/>
      <c r="B202" s="7"/>
      <c r="C202" s="8"/>
      <c r="D202" s="8"/>
      <c r="E202" s="9"/>
      <c r="F202" s="7"/>
      <c r="G202" s="10" t="n">
        <f aca="false">YEAR(Zeiterfassung[[#This Row],[Datum]])</f>
        <v>1899</v>
      </c>
      <c r="H202" s="10" t="n">
        <f aca="false">WEEKNUM(A202,2)</f>
        <v>53</v>
      </c>
      <c r="J202" s="0"/>
    </row>
    <row r="203" customFormat="false" ht="13.8" hidden="false" customHeight="false" outlineLevel="0" collapsed="false">
      <c r="A203" s="6"/>
      <c r="B203" s="7"/>
      <c r="C203" s="8"/>
      <c r="D203" s="8"/>
      <c r="E203" s="9"/>
      <c r="F203" s="7"/>
      <c r="G203" s="10" t="n">
        <f aca="false">YEAR(Zeiterfassung[[#This Row],[Datum]])</f>
        <v>1899</v>
      </c>
      <c r="H203" s="10" t="n">
        <f aca="false">WEEKNUM(A203,2)</f>
        <v>53</v>
      </c>
      <c r="J203" s="0"/>
    </row>
    <row r="204" customFormat="false" ht="13.8" hidden="false" customHeight="false" outlineLevel="0" collapsed="false">
      <c r="A204" s="6"/>
      <c r="B204" s="7"/>
      <c r="C204" s="8"/>
      <c r="D204" s="8"/>
      <c r="E204" s="9"/>
      <c r="F204" s="7"/>
      <c r="G204" s="10" t="n">
        <f aca="false">YEAR(Zeiterfassung[[#This Row],[Datum]])</f>
        <v>1899</v>
      </c>
      <c r="H204" s="10" t="n">
        <f aca="false">WEEKNUM(A204,2)</f>
        <v>53</v>
      </c>
      <c r="J204" s="0"/>
    </row>
    <row r="205" customFormat="false" ht="13.8" hidden="false" customHeight="false" outlineLevel="0" collapsed="false">
      <c r="A205" s="6"/>
      <c r="B205" s="7"/>
      <c r="C205" s="8"/>
      <c r="D205" s="8"/>
      <c r="E205" s="9"/>
      <c r="F205" s="7"/>
      <c r="G205" s="10" t="n">
        <f aca="false">YEAR(Zeiterfassung[[#This Row],[Datum]])</f>
        <v>1899</v>
      </c>
      <c r="H205" s="10" t="n">
        <f aca="false">WEEKNUM(A205,2)</f>
        <v>53</v>
      </c>
      <c r="J205" s="0"/>
    </row>
    <row r="206" customFormat="false" ht="13.8" hidden="false" customHeight="false" outlineLevel="0" collapsed="false">
      <c r="A206" s="6"/>
      <c r="B206" s="7"/>
      <c r="C206" s="8"/>
      <c r="D206" s="8"/>
      <c r="E206" s="9"/>
      <c r="F206" s="7"/>
      <c r="G206" s="10" t="n">
        <f aca="false">YEAR(Zeiterfassung[[#This Row],[Datum]])</f>
        <v>1899</v>
      </c>
      <c r="H206" s="10" t="n">
        <f aca="false">WEEKNUM(A206,2)</f>
        <v>53</v>
      </c>
      <c r="J206" s="0"/>
    </row>
    <row r="207" customFormat="false" ht="13.8" hidden="false" customHeight="false" outlineLevel="0" collapsed="false">
      <c r="A207" s="6"/>
      <c r="B207" s="7"/>
      <c r="C207" s="8"/>
      <c r="D207" s="8"/>
      <c r="E207" s="9"/>
      <c r="F207" s="7"/>
      <c r="G207" s="10" t="n">
        <f aca="false">YEAR(Zeiterfassung[[#This Row],[Datum]])</f>
        <v>1899</v>
      </c>
      <c r="H207" s="10" t="n">
        <f aca="false">WEEKNUM(A207,2)</f>
        <v>53</v>
      </c>
      <c r="J207" s="0"/>
    </row>
    <row r="208" customFormat="false" ht="13.8" hidden="false" customHeight="false" outlineLevel="0" collapsed="false">
      <c r="A208" s="6"/>
      <c r="B208" s="7"/>
      <c r="C208" s="8"/>
      <c r="D208" s="8"/>
      <c r="E208" s="9"/>
      <c r="F208" s="7"/>
      <c r="G208" s="10" t="n">
        <f aca="false">YEAR(Zeiterfassung[[#This Row],[Datum]])</f>
        <v>1899</v>
      </c>
      <c r="H208" s="10" t="n">
        <f aca="false">WEEKNUM(A208,2)</f>
        <v>53</v>
      </c>
      <c r="J208" s="0"/>
    </row>
    <row r="209" customFormat="false" ht="13.8" hidden="false" customHeight="false" outlineLevel="0" collapsed="false">
      <c r="A209" s="6"/>
      <c r="B209" s="7"/>
      <c r="C209" s="8"/>
      <c r="D209" s="8"/>
      <c r="E209" s="9"/>
      <c r="F209" s="7"/>
      <c r="G209" s="10" t="n">
        <f aca="false">YEAR(Zeiterfassung[[#This Row],[Datum]])</f>
        <v>1899</v>
      </c>
      <c r="H209" s="10" t="n">
        <f aca="false">WEEKNUM(A209,2)</f>
        <v>53</v>
      </c>
      <c r="J209" s="0"/>
    </row>
    <row r="210" customFormat="false" ht="13.8" hidden="false" customHeight="false" outlineLevel="0" collapsed="false">
      <c r="A210" s="6"/>
      <c r="B210" s="7"/>
      <c r="C210" s="8"/>
      <c r="D210" s="8"/>
      <c r="E210" s="9"/>
      <c r="F210" s="7"/>
      <c r="G210" s="10" t="n">
        <f aca="false">YEAR(Zeiterfassung[[#This Row],[Datum]])</f>
        <v>1899</v>
      </c>
      <c r="H210" s="10" t="n">
        <f aca="false">WEEKNUM(A210,2)</f>
        <v>53</v>
      </c>
      <c r="J210" s="0"/>
    </row>
    <row r="211" customFormat="false" ht="13.8" hidden="false" customHeight="false" outlineLevel="0" collapsed="false">
      <c r="A211" s="6"/>
      <c r="B211" s="7"/>
      <c r="C211" s="8"/>
      <c r="D211" s="8"/>
      <c r="E211" s="9"/>
      <c r="F211" s="7"/>
      <c r="G211" s="10" t="n">
        <f aca="false">YEAR(Zeiterfassung[[#This Row],[Datum]])</f>
        <v>1899</v>
      </c>
      <c r="H211" s="10" t="n">
        <f aca="false">WEEKNUM(A211,2)</f>
        <v>53</v>
      </c>
      <c r="J211" s="0"/>
    </row>
    <row r="212" customFormat="false" ht="13.8" hidden="false" customHeight="false" outlineLevel="0" collapsed="false">
      <c r="A212" s="6"/>
      <c r="B212" s="7"/>
      <c r="C212" s="8"/>
      <c r="D212" s="8"/>
      <c r="E212" s="9"/>
      <c r="F212" s="7"/>
      <c r="G212" s="10" t="n">
        <f aca="false">YEAR(Zeiterfassung[[#This Row],[Datum]])</f>
        <v>1899</v>
      </c>
      <c r="H212" s="10" t="n">
        <f aca="false">WEEKNUM(A212,2)</f>
        <v>53</v>
      </c>
      <c r="J212" s="0"/>
    </row>
    <row r="213" customFormat="false" ht="13.8" hidden="false" customHeight="false" outlineLevel="0" collapsed="false">
      <c r="A213" s="6"/>
      <c r="B213" s="7"/>
      <c r="C213" s="8"/>
      <c r="D213" s="8"/>
      <c r="E213" s="9"/>
      <c r="F213" s="7"/>
      <c r="G213" s="10" t="n">
        <f aca="false">YEAR(Zeiterfassung[[#This Row],[Datum]])</f>
        <v>1899</v>
      </c>
      <c r="H213" s="10" t="n">
        <f aca="false">WEEKNUM(A213,2)</f>
        <v>53</v>
      </c>
      <c r="J213" s="0"/>
    </row>
    <row r="214" customFormat="false" ht="13.8" hidden="false" customHeight="false" outlineLevel="0" collapsed="false">
      <c r="A214" s="6"/>
      <c r="B214" s="7"/>
      <c r="C214" s="8"/>
      <c r="D214" s="8"/>
      <c r="E214" s="9"/>
      <c r="F214" s="7"/>
      <c r="G214" s="10" t="n">
        <f aca="false">YEAR(Zeiterfassung[[#This Row],[Datum]])</f>
        <v>1899</v>
      </c>
      <c r="H214" s="10" t="n">
        <f aca="false">WEEKNUM(A214,2)</f>
        <v>53</v>
      </c>
      <c r="J214" s="0"/>
    </row>
    <row r="215" customFormat="false" ht="13.8" hidden="false" customHeight="false" outlineLevel="0" collapsed="false">
      <c r="A215" s="6"/>
      <c r="B215" s="7"/>
      <c r="C215" s="8"/>
      <c r="D215" s="8"/>
      <c r="E215" s="9"/>
      <c r="F215" s="7"/>
      <c r="G215" s="10" t="n">
        <f aca="false">YEAR(Zeiterfassung[[#This Row],[Datum]])</f>
        <v>1899</v>
      </c>
      <c r="H215" s="10" t="n">
        <f aca="false">WEEKNUM(A215,2)</f>
        <v>53</v>
      </c>
      <c r="J215" s="0"/>
    </row>
    <row r="216" customFormat="false" ht="13.8" hidden="false" customHeight="false" outlineLevel="0" collapsed="false">
      <c r="A216" s="6"/>
      <c r="B216" s="7"/>
      <c r="C216" s="8"/>
      <c r="D216" s="8"/>
      <c r="E216" s="9"/>
      <c r="F216" s="7"/>
      <c r="G216" s="10" t="n">
        <f aca="false">YEAR(Zeiterfassung[[#This Row],[Datum]])</f>
        <v>1899</v>
      </c>
      <c r="H216" s="10" t="n">
        <f aca="false">WEEKNUM(A216,2)</f>
        <v>53</v>
      </c>
      <c r="J216" s="0"/>
    </row>
    <row r="217" customFormat="false" ht="13.8" hidden="false" customHeight="false" outlineLevel="0" collapsed="false">
      <c r="A217" s="6"/>
      <c r="B217" s="7"/>
      <c r="C217" s="8"/>
      <c r="D217" s="8"/>
      <c r="E217" s="9"/>
      <c r="F217" s="7"/>
      <c r="G217" s="10" t="n">
        <f aca="false">YEAR(Zeiterfassung[[#This Row],[Datum]])</f>
        <v>1899</v>
      </c>
      <c r="H217" s="10" t="n">
        <f aca="false">WEEKNUM(A217,2)</f>
        <v>53</v>
      </c>
      <c r="J217" s="0"/>
    </row>
    <row r="218" customFormat="false" ht="13.8" hidden="false" customHeight="false" outlineLevel="0" collapsed="false">
      <c r="A218" s="6"/>
      <c r="B218" s="7"/>
      <c r="C218" s="8"/>
      <c r="D218" s="8"/>
      <c r="E218" s="9"/>
      <c r="F218" s="7"/>
      <c r="G218" s="10" t="n">
        <f aca="false">YEAR(Zeiterfassung[[#This Row],[Datum]])</f>
        <v>1899</v>
      </c>
      <c r="H218" s="10" t="n">
        <f aca="false">WEEKNUM(A218,2)</f>
        <v>53</v>
      </c>
      <c r="J218" s="0"/>
    </row>
    <row r="219" customFormat="false" ht="13.8" hidden="false" customHeight="false" outlineLevel="0" collapsed="false">
      <c r="A219" s="6"/>
      <c r="B219" s="7"/>
      <c r="C219" s="8"/>
      <c r="D219" s="8"/>
      <c r="E219" s="9"/>
      <c r="F219" s="7"/>
      <c r="G219" s="10" t="n">
        <f aca="false">YEAR(Zeiterfassung[[#This Row],[Datum]])</f>
        <v>1899</v>
      </c>
      <c r="H219" s="10" t="n">
        <f aca="false">WEEKNUM(A219,2)</f>
        <v>53</v>
      </c>
      <c r="J219" s="0"/>
    </row>
    <row r="220" customFormat="false" ht="13.8" hidden="false" customHeight="false" outlineLevel="0" collapsed="false">
      <c r="A220" s="6"/>
      <c r="B220" s="7"/>
      <c r="C220" s="8"/>
      <c r="D220" s="8"/>
      <c r="E220" s="9"/>
      <c r="F220" s="7"/>
      <c r="G220" s="10" t="n">
        <f aca="false">YEAR(Zeiterfassung[[#This Row],[Datum]])</f>
        <v>1899</v>
      </c>
      <c r="H220" s="10" t="n">
        <f aca="false">WEEKNUM(A220,2)</f>
        <v>53</v>
      </c>
      <c r="J220" s="0"/>
    </row>
    <row r="221" customFormat="false" ht="13.8" hidden="false" customHeight="false" outlineLevel="0" collapsed="false">
      <c r="A221" s="6"/>
      <c r="B221" s="7"/>
      <c r="C221" s="8"/>
      <c r="D221" s="8"/>
      <c r="E221" s="9"/>
      <c r="F221" s="7"/>
      <c r="G221" s="10" t="n">
        <f aca="false">YEAR(Zeiterfassung[[#This Row],[Datum]])</f>
        <v>1899</v>
      </c>
      <c r="H221" s="10" t="n">
        <f aca="false">WEEKNUM(A221,2)</f>
        <v>53</v>
      </c>
      <c r="J221" s="0"/>
    </row>
    <row r="222" customFormat="false" ht="13.8" hidden="false" customHeight="false" outlineLevel="0" collapsed="false">
      <c r="A222" s="6"/>
      <c r="B222" s="7"/>
      <c r="C222" s="8"/>
      <c r="D222" s="8"/>
      <c r="E222" s="9"/>
      <c r="F222" s="7"/>
      <c r="G222" s="10" t="n">
        <f aca="false">YEAR(Zeiterfassung[[#This Row],[Datum]])</f>
        <v>1899</v>
      </c>
      <c r="H222" s="10" t="n">
        <f aca="false">WEEKNUM(A222,2)</f>
        <v>53</v>
      </c>
      <c r="J222" s="0"/>
    </row>
    <row r="223" customFormat="false" ht="13.8" hidden="false" customHeight="false" outlineLevel="0" collapsed="false">
      <c r="A223" s="6"/>
      <c r="B223" s="7"/>
      <c r="C223" s="8"/>
      <c r="D223" s="8"/>
      <c r="E223" s="9"/>
      <c r="F223" s="7"/>
      <c r="G223" s="10" t="n">
        <f aca="false">YEAR(Zeiterfassung[[#This Row],[Datum]])</f>
        <v>1899</v>
      </c>
      <c r="H223" s="10" t="n">
        <f aca="false">WEEKNUM(A223,2)</f>
        <v>53</v>
      </c>
      <c r="J223" s="0"/>
    </row>
    <row r="224" customFormat="false" ht="13.8" hidden="false" customHeight="false" outlineLevel="0" collapsed="false">
      <c r="A224" s="6"/>
      <c r="B224" s="7"/>
      <c r="C224" s="8"/>
      <c r="D224" s="8"/>
      <c r="E224" s="9"/>
      <c r="F224" s="7"/>
      <c r="G224" s="10" t="n">
        <f aca="false">YEAR(Zeiterfassung[[#This Row],[Datum]])</f>
        <v>1899</v>
      </c>
      <c r="H224" s="10" t="n">
        <f aca="false">WEEKNUM(A224,2)</f>
        <v>53</v>
      </c>
      <c r="J224" s="0"/>
    </row>
    <row r="225" customFormat="false" ht="13.8" hidden="false" customHeight="false" outlineLevel="0" collapsed="false">
      <c r="A225" s="6"/>
      <c r="B225" s="7"/>
      <c r="C225" s="8"/>
      <c r="D225" s="8"/>
      <c r="E225" s="9"/>
      <c r="F225" s="7"/>
      <c r="G225" s="10" t="n">
        <f aca="false">YEAR(Zeiterfassung[[#This Row],[Datum]])</f>
        <v>1899</v>
      </c>
      <c r="H225" s="10" t="n">
        <f aca="false">WEEKNUM(A225,2)</f>
        <v>53</v>
      </c>
      <c r="J225" s="0"/>
    </row>
    <row r="226" customFormat="false" ht="13.8" hidden="false" customHeight="false" outlineLevel="0" collapsed="false">
      <c r="A226" s="6"/>
      <c r="B226" s="7"/>
      <c r="C226" s="8"/>
      <c r="D226" s="8"/>
      <c r="E226" s="9"/>
      <c r="F226" s="7"/>
      <c r="G226" s="10" t="n">
        <f aca="false">YEAR(Zeiterfassung[[#This Row],[Datum]])</f>
        <v>1899</v>
      </c>
      <c r="H226" s="10" t="n">
        <f aca="false">WEEKNUM(A226,2)</f>
        <v>53</v>
      </c>
      <c r="J226" s="0"/>
    </row>
    <row r="227" customFormat="false" ht="13.8" hidden="false" customHeight="false" outlineLevel="0" collapsed="false">
      <c r="A227" s="6"/>
      <c r="B227" s="7"/>
      <c r="C227" s="8"/>
      <c r="D227" s="8"/>
      <c r="E227" s="9"/>
      <c r="F227" s="7"/>
      <c r="G227" s="10" t="n">
        <f aca="false">YEAR(Zeiterfassung[[#This Row],[Datum]])</f>
        <v>1899</v>
      </c>
      <c r="H227" s="10" t="n">
        <f aca="false">WEEKNUM(A227,2)</f>
        <v>53</v>
      </c>
      <c r="J227" s="0"/>
    </row>
    <row r="228" customFormat="false" ht="13.8" hidden="false" customHeight="false" outlineLevel="0" collapsed="false">
      <c r="A228" s="6"/>
      <c r="B228" s="7"/>
      <c r="C228" s="8"/>
      <c r="D228" s="8"/>
      <c r="E228" s="9"/>
      <c r="F228" s="7"/>
      <c r="G228" s="10" t="n">
        <f aca="false">YEAR(Zeiterfassung[[#This Row],[Datum]])</f>
        <v>1899</v>
      </c>
      <c r="H228" s="10" t="n">
        <f aca="false">WEEKNUM(A228,2)</f>
        <v>53</v>
      </c>
      <c r="J228" s="0"/>
    </row>
    <row r="229" customFormat="false" ht="13.8" hidden="false" customHeight="false" outlineLevel="0" collapsed="false">
      <c r="A229" s="6"/>
      <c r="B229" s="7"/>
      <c r="C229" s="8"/>
      <c r="D229" s="8"/>
      <c r="E229" s="9"/>
      <c r="F229" s="7"/>
      <c r="G229" s="10" t="n">
        <f aca="false">YEAR(Zeiterfassung[[#This Row],[Datum]])</f>
        <v>1899</v>
      </c>
      <c r="H229" s="10" t="n">
        <f aca="false">WEEKNUM(A229,2)</f>
        <v>53</v>
      </c>
      <c r="J229" s="0"/>
    </row>
    <row r="230" customFormat="false" ht="13.8" hidden="false" customHeight="false" outlineLevel="0" collapsed="false">
      <c r="A230" s="6"/>
      <c r="B230" s="7"/>
      <c r="C230" s="8"/>
      <c r="D230" s="8"/>
      <c r="E230" s="9"/>
      <c r="F230" s="7"/>
      <c r="G230" s="10" t="n">
        <f aca="false">YEAR(Zeiterfassung[[#This Row],[Datum]])</f>
        <v>1899</v>
      </c>
      <c r="H230" s="10" t="n">
        <f aca="false">WEEKNUM(A230,2)</f>
        <v>53</v>
      </c>
      <c r="J230" s="0"/>
    </row>
    <row r="231" customFormat="false" ht="13.8" hidden="false" customHeight="false" outlineLevel="0" collapsed="false">
      <c r="A231" s="6"/>
      <c r="B231" s="7"/>
      <c r="C231" s="8"/>
      <c r="D231" s="8"/>
      <c r="E231" s="9"/>
      <c r="F231" s="7"/>
      <c r="G231" s="10" t="n">
        <f aca="false">YEAR(Zeiterfassung[[#This Row],[Datum]])</f>
        <v>1899</v>
      </c>
      <c r="H231" s="10" t="n">
        <f aca="false">WEEKNUM(A231,2)</f>
        <v>53</v>
      </c>
      <c r="J231" s="0"/>
    </row>
    <row r="232" customFormat="false" ht="13.8" hidden="false" customHeight="false" outlineLevel="0" collapsed="false">
      <c r="A232" s="6"/>
      <c r="B232" s="7"/>
      <c r="C232" s="8"/>
      <c r="D232" s="8"/>
      <c r="E232" s="9"/>
      <c r="F232" s="7"/>
      <c r="G232" s="10" t="n">
        <f aca="false">YEAR(Zeiterfassung[[#This Row],[Datum]])</f>
        <v>1899</v>
      </c>
      <c r="H232" s="10" t="n">
        <f aca="false">WEEKNUM(A232,2)</f>
        <v>53</v>
      </c>
      <c r="J232" s="0"/>
    </row>
    <row r="233" customFormat="false" ht="13.8" hidden="false" customHeight="false" outlineLevel="0" collapsed="false">
      <c r="A233" s="6"/>
      <c r="B233" s="7"/>
      <c r="C233" s="8"/>
      <c r="D233" s="8"/>
      <c r="E233" s="9"/>
      <c r="F233" s="7"/>
      <c r="G233" s="10" t="n">
        <f aca="false">YEAR(Zeiterfassung[[#This Row],[Datum]])</f>
        <v>1899</v>
      </c>
      <c r="H233" s="10" t="n">
        <f aca="false">WEEKNUM(A233,2)</f>
        <v>53</v>
      </c>
      <c r="J233" s="0"/>
    </row>
    <row r="234" customFormat="false" ht="13.8" hidden="false" customHeight="false" outlineLevel="0" collapsed="false">
      <c r="A234" s="6"/>
      <c r="B234" s="7"/>
      <c r="C234" s="8"/>
      <c r="D234" s="8"/>
      <c r="E234" s="9"/>
      <c r="F234" s="7"/>
      <c r="G234" s="10" t="n">
        <f aca="false">YEAR(Zeiterfassung[[#This Row],[Datum]])</f>
        <v>1899</v>
      </c>
      <c r="H234" s="10" t="n">
        <f aca="false">WEEKNUM(A234,2)</f>
        <v>53</v>
      </c>
      <c r="J234" s="0"/>
    </row>
    <row r="235" customFormat="false" ht="13.8" hidden="false" customHeight="false" outlineLevel="0" collapsed="false">
      <c r="A235" s="6"/>
      <c r="B235" s="7"/>
      <c r="C235" s="8"/>
      <c r="D235" s="8"/>
      <c r="E235" s="9"/>
      <c r="F235" s="7"/>
      <c r="G235" s="10" t="n">
        <f aca="false">YEAR(Zeiterfassung[[#This Row],[Datum]])</f>
        <v>1899</v>
      </c>
      <c r="H235" s="10" t="n">
        <f aca="false">WEEKNUM(A235,2)</f>
        <v>53</v>
      </c>
      <c r="J235" s="0"/>
    </row>
    <row r="236" customFormat="false" ht="13.8" hidden="false" customHeight="false" outlineLevel="0" collapsed="false">
      <c r="A236" s="6"/>
      <c r="B236" s="7"/>
      <c r="C236" s="8"/>
      <c r="D236" s="8"/>
      <c r="E236" s="9"/>
      <c r="F236" s="7"/>
      <c r="G236" s="10" t="n">
        <f aca="false">YEAR(Zeiterfassung[[#This Row],[Datum]])</f>
        <v>1899</v>
      </c>
      <c r="H236" s="10" t="n">
        <f aca="false">WEEKNUM(A236,2)</f>
        <v>53</v>
      </c>
      <c r="J236" s="0"/>
    </row>
    <row r="237" customFormat="false" ht="13.8" hidden="false" customHeight="false" outlineLevel="0" collapsed="false">
      <c r="A237" s="6"/>
      <c r="B237" s="7"/>
      <c r="C237" s="8"/>
      <c r="D237" s="8"/>
      <c r="E237" s="9"/>
      <c r="F237" s="7"/>
      <c r="G237" s="10" t="n">
        <f aca="false">YEAR(Zeiterfassung[[#This Row],[Datum]])</f>
        <v>1899</v>
      </c>
      <c r="H237" s="10" t="n">
        <f aca="false">WEEKNUM(A237,2)</f>
        <v>53</v>
      </c>
      <c r="J237" s="0"/>
    </row>
    <row r="238" customFormat="false" ht="13.8" hidden="false" customHeight="false" outlineLevel="0" collapsed="false">
      <c r="A238" s="6"/>
      <c r="B238" s="7"/>
      <c r="C238" s="8"/>
      <c r="D238" s="8"/>
      <c r="E238" s="9"/>
      <c r="F238" s="7"/>
      <c r="G238" s="10" t="n">
        <f aca="false">YEAR(Zeiterfassung[[#This Row],[Datum]])</f>
        <v>1899</v>
      </c>
      <c r="H238" s="10" t="n">
        <f aca="false">WEEKNUM(A238,2)</f>
        <v>53</v>
      </c>
      <c r="J238" s="0"/>
    </row>
    <row r="239" customFormat="false" ht="13.8" hidden="false" customHeight="false" outlineLevel="0" collapsed="false">
      <c r="A239" s="6"/>
      <c r="B239" s="7"/>
      <c r="C239" s="8"/>
      <c r="D239" s="8"/>
      <c r="E239" s="9"/>
      <c r="F239" s="7"/>
      <c r="G239" s="10" t="n">
        <f aca="false">YEAR(Zeiterfassung[[#This Row],[Datum]])</f>
        <v>1899</v>
      </c>
      <c r="H239" s="10" t="n">
        <f aca="false">WEEKNUM(A239,2)</f>
        <v>53</v>
      </c>
      <c r="J239" s="0"/>
    </row>
    <row r="240" customFormat="false" ht="13.8" hidden="false" customHeight="false" outlineLevel="0" collapsed="false">
      <c r="A240" s="6"/>
      <c r="B240" s="7"/>
      <c r="C240" s="8"/>
      <c r="D240" s="8"/>
      <c r="E240" s="9"/>
      <c r="F240" s="7"/>
      <c r="G240" s="10" t="n">
        <f aca="false">YEAR(Zeiterfassung[[#This Row],[Datum]])</f>
        <v>1899</v>
      </c>
      <c r="H240" s="10" t="n">
        <f aca="false">WEEKNUM(A240,2)</f>
        <v>53</v>
      </c>
      <c r="J240" s="0"/>
    </row>
    <row r="241" customFormat="false" ht="13.8" hidden="false" customHeight="false" outlineLevel="0" collapsed="false">
      <c r="A241" s="6"/>
      <c r="B241" s="7"/>
      <c r="C241" s="8"/>
      <c r="D241" s="8"/>
      <c r="E241" s="9"/>
      <c r="F241" s="7"/>
      <c r="G241" s="10" t="n">
        <f aca="false">YEAR(Zeiterfassung[[#This Row],[Datum]])</f>
        <v>1899</v>
      </c>
      <c r="H241" s="10" t="n">
        <f aca="false">WEEKNUM(A241,2)</f>
        <v>53</v>
      </c>
      <c r="J241" s="0"/>
    </row>
    <row r="242" customFormat="false" ht="13.8" hidden="false" customHeight="false" outlineLevel="0" collapsed="false">
      <c r="A242" s="6"/>
      <c r="B242" s="7"/>
      <c r="C242" s="8"/>
      <c r="D242" s="8"/>
      <c r="E242" s="9"/>
      <c r="F242" s="7"/>
      <c r="G242" s="10" t="n">
        <f aca="false">YEAR(Zeiterfassung[[#This Row],[Datum]])</f>
        <v>1899</v>
      </c>
      <c r="H242" s="10" t="n">
        <f aca="false">WEEKNUM(A242,2)</f>
        <v>53</v>
      </c>
      <c r="J242" s="0"/>
    </row>
    <row r="243" customFormat="false" ht="13.8" hidden="false" customHeight="false" outlineLevel="0" collapsed="false">
      <c r="A243" s="6"/>
      <c r="B243" s="7"/>
      <c r="C243" s="8"/>
      <c r="D243" s="8"/>
      <c r="E243" s="9"/>
      <c r="F243" s="7"/>
      <c r="G243" s="10" t="n">
        <f aca="false">YEAR(Zeiterfassung[[#This Row],[Datum]])</f>
        <v>1899</v>
      </c>
      <c r="H243" s="10" t="n">
        <f aca="false">WEEKNUM(A243,2)</f>
        <v>53</v>
      </c>
      <c r="J243" s="0"/>
    </row>
    <row r="244" customFormat="false" ht="13.8" hidden="false" customHeight="false" outlineLevel="0" collapsed="false">
      <c r="A244" s="6"/>
      <c r="B244" s="7"/>
      <c r="C244" s="8"/>
      <c r="D244" s="8"/>
      <c r="E244" s="9"/>
      <c r="F244" s="7"/>
      <c r="G244" s="10" t="n">
        <f aca="false">YEAR(Zeiterfassung[[#This Row],[Datum]])</f>
        <v>1899</v>
      </c>
      <c r="H244" s="10" t="n">
        <f aca="false">WEEKNUM(A244,2)</f>
        <v>53</v>
      </c>
      <c r="J244" s="0"/>
    </row>
    <row r="245" customFormat="false" ht="13.8" hidden="false" customHeight="false" outlineLevel="0" collapsed="false">
      <c r="A245" s="6"/>
      <c r="B245" s="7"/>
      <c r="C245" s="8"/>
      <c r="D245" s="8"/>
      <c r="E245" s="9"/>
      <c r="F245" s="7"/>
      <c r="G245" s="10" t="n">
        <f aca="false">YEAR(Zeiterfassung[[#This Row],[Datum]])</f>
        <v>1899</v>
      </c>
      <c r="H245" s="10" t="n">
        <f aca="false">WEEKNUM(A245,2)</f>
        <v>53</v>
      </c>
      <c r="J245" s="0"/>
    </row>
    <row r="246" customFormat="false" ht="13.8" hidden="false" customHeight="false" outlineLevel="0" collapsed="false">
      <c r="A246" s="6"/>
      <c r="B246" s="7"/>
      <c r="C246" s="8"/>
      <c r="D246" s="8"/>
      <c r="E246" s="9"/>
      <c r="F246" s="7"/>
      <c r="G246" s="10" t="n">
        <f aca="false">YEAR(Zeiterfassung[[#This Row],[Datum]])</f>
        <v>1899</v>
      </c>
      <c r="H246" s="10" t="n">
        <f aca="false">WEEKNUM(A246,2)</f>
        <v>53</v>
      </c>
      <c r="J246" s="0"/>
    </row>
    <row r="247" customFormat="false" ht="13.8" hidden="false" customHeight="false" outlineLevel="0" collapsed="false">
      <c r="A247" s="6"/>
      <c r="B247" s="7"/>
      <c r="C247" s="8"/>
      <c r="D247" s="8"/>
      <c r="E247" s="9"/>
      <c r="F247" s="7"/>
      <c r="G247" s="10" t="n">
        <f aca="false">YEAR(Zeiterfassung[[#This Row],[Datum]])</f>
        <v>1899</v>
      </c>
      <c r="H247" s="10" t="n">
        <f aca="false">WEEKNUM(A247,2)</f>
        <v>53</v>
      </c>
      <c r="J247" s="0"/>
    </row>
    <row r="248" customFormat="false" ht="13.8" hidden="false" customHeight="false" outlineLevel="0" collapsed="false">
      <c r="A248" s="6"/>
      <c r="B248" s="7"/>
      <c r="C248" s="8"/>
      <c r="D248" s="8"/>
      <c r="E248" s="9"/>
      <c r="F248" s="7"/>
      <c r="G248" s="10" t="n">
        <f aca="false">YEAR(Zeiterfassung[[#This Row],[Datum]])</f>
        <v>1899</v>
      </c>
      <c r="H248" s="10" t="n">
        <f aca="false">WEEKNUM(A248,2)</f>
        <v>53</v>
      </c>
      <c r="J248" s="0"/>
    </row>
    <row r="249" customFormat="false" ht="13.8" hidden="false" customHeight="false" outlineLevel="0" collapsed="false">
      <c r="A249" s="6"/>
      <c r="B249" s="7"/>
      <c r="C249" s="8"/>
      <c r="D249" s="8"/>
      <c r="E249" s="9"/>
      <c r="F249" s="7"/>
      <c r="G249" s="10" t="n">
        <f aca="false">YEAR(Zeiterfassung[[#This Row],[Datum]])</f>
        <v>1899</v>
      </c>
      <c r="H249" s="10" t="n">
        <f aca="false">WEEKNUM(A249,2)</f>
        <v>53</v>
      </c>
      <c r="J249" s="0"/>
    </row>
    <row r="250" customFormat="false" ht="13.8" hidden="false" customHeight="false" outlineLevel="0" collapsed="false">
      <c r="A250" s="6"/>
      <c r="B250" s="7"/>
      <c r="C250" s="8"/>
      <c r="D250" s="8"/>
      <c r="E250" s="9"/>
      <c r="F250" s="7"/>
      <c r="G250" s="10" t="n">
        <f aca="false">YEAR(Zeiterfassung[[#This Row],[Datum]])</f>
        <v>1899</v>
      </c>
      <c r="H250" s="10" t="n">
        <f aca="false">WEEKNUM(A250,2)</f>
        <v>53</v>
      </c>
      <c r="J250" s="0"/>
    </row>
    <row r="251" customFormat="false" ht="13.8" hidden="false" customHeight="false" outlineLevel="0" collapsed="false">
      <c r="A251" s="6"/>
      <c r="B251" s="7"/>
      <c r="C251" s="8"/>
      <c r="D251" s="8"/>
      <c r="E251" s="9"/>
      <c r="F251" s="7"/>
      <c r="G251" s="10" t="n">
        <f aca="false">YEAR(Zeiterfassung[[#This Row],[Datum]])</f>
        <v>1899</v>
      </c>
      <c r="H251" s="10" t="n">
        <f aca="false">WEEKNUM(A251,2)</f>
        <v>53</v>
      </c>
      <c r="J251" s="0"/>
    </row>
    <row r="252" customFormat="false" ht="13.8" hidden="false" customHeight="false" outlineLevel="0" collapsed="false">
      <c r="A252" s="6"/>
      <c r="B252" s="7"/>
      <c r="C252" s="8"/>
      <c r="D252" s="8"/>
      <c r="E252" s="9"/>
      <c r="F252" s="7"/>
      <c r="G252" s="10" t="n">
        <f aca="false">YEAR(Zeiterfassung[[#This Row],[Datum]])</f>
        <v>1899</v>
      </c>
      <c r="H252" s="10" t="n">
        <f aca="false">WEEKNUM(A252,2)</f>
        <v>53</v>
      </c>
      <c r="J252" s="0"/>
    </row>
    <row r="253" customFormat="false" ht="13.8" hidden="false" customHeight="false" outlineLevel="0" collapsed="false">
      <c r="A253" s="6"/>
      <c r="B253" s="7"/>
      <c r="C253" s="8"/>
      <c r="D253" s="8"/>
      <c r="E253" s="9"/>
      <c r="F253" s="7"/>
      <c r="G253" s="10" t="n">
        <f aca="false">YEAR(Zeiterfassung[[#This Row],[Datum]])</f>
        <v>1899</v>
      </c>
      <c r="H253" s="10" t="n">
        <f aca="false">WEEKNUM(A253,2)</f>
        <v>53</v>
      </c>
      <c r="J253" s="0"/>
    </row>
    <row r="254" customFormat="false" ht="13.8" hidden="false" customHeight="false" outlineLevel="0" collapsed="false">
      <c r="A254" s="6"/>
      <c r="B254" s="7"/>
      <c r="C254" s="8"/>
      <c r="D254" s="8"/>
      <c r="E254" s="9"/>
      <c r="F254" s="7"/>
      <c r="G254" s="10" t="n">
        <f aca="false">YEAR(Zeiterfassung[[#This Row],[Datum]])</f>
        <v>1899</v>
      </c>
      <c r="H254" s="10" t="n">
        <f aca="false">WEEKNUM(A254,2)</f>
        <v>53</v>
      </c>
      <c r="J254" s="0"/>
    </row>
    <row r="255" customFormat="false" ht="13.8" hidden="false" customHeight="false" outlineLevel="0" collapsed="false">
      <c r="A255" s="6"/>
      <c r="B255" s="7"/>
      <c r="C255" s="8"/>
      <c r="D255" s="8"/>
      <c r="E255" s="9"/>
      <c r="F255" s="7"/>
      <c r="G255" s="10" t="n">
        <f aca="false">YEAR(Zeiterfassung[[#This Row],[Datum]])</f>
        <v>1899</v>
      </c>
      <c r="H255" s="10" t="n">
        <f aca="false">WEEKNUM(A255,2)</f>
        <v>53</v>
      </c>
      <c r="J255" s="0"/>
    </row>
    <row r="256" customFormat="false" ht="13.8" hidden="false" customHeight="false" outlineLevel="0" collapsed="false">
      <c r="A256" s="6"/>
      <c r="B256" s="7"/>
      <c r="C256" s="8"/>
      <c r="D256" s="8"/>
      <c r="E256" s="9"/>
      <c r="F256" s="7"/>
      <c r="G256" s="10" t="n">
        <f aca="false">YEAR(Zeiterfassung[[#This Row],[Datum]])</f>
        <v>1899</v>
      </c>
      <c r="H256" s="10" t="n">
        <f aca="false">WEEKNUM(A256,2)</f>
        <v>53</v>
      </c>
      <c r="J256" s="0"/>
    </row>
    <row r="257" customFormat="false" ht="13.8" hidden="false" customHeight="false" outlineLevel="0" collapsed="false">
      <c r="A257" s="6"/>
      <c r="B257" s="7"/>
      <c r="C257" s="8"/>
      <c r="D257" s="8"/>
      <c r="E257" s="9"/>
      <c r="F257" s="7"/>
      <c r="G257" s="10" t="n">
        <f aca="false">YEAR(Zeiterfassung[[#This Row],[Datum]])</f>
        <v>1899</v>
      </c>
      <c r="H257" s="10" t="n">
        <f aca="false">WEEKNUM(A257,2)</f>
        <v>53</v>
      </c>
      <c r="J257" s="0"/>
    </row>
    <row r="258" customFormat="false" ht="13.8" hidden="false" customHeight="false" outlineLevel="0" collapsed="false">
      <c r="A258" s="6"/>
      <c r="B258" s="7"/>
      <c r="C258" s="8"/>
      <c r="D258" s="8"/>
      <c r="E258" s="9"/>
      <c r="F258" s="7"/>
      <c r="G258" s="10" t="n">
        <f aca="false">YEAR(Zeiterfassung[[#This Row],[Datum]])</f>
        <v>1899</v>
      </c>
      <c r="H258" s="10" t="n">
        <f aca="false">WEEKNUM(A258,2)</f>
        <v>53</v>
      </c>
      <c r="J258" s="0"/>
    </row>
    <row r="259" customFormat="false" ht="13.8" hidden="false" customHeight="false" outlineLevel="0" collapsed="false">
      <c r="A259" s="6"/>
      <c r="B259" s="7"/>
      <c r="C259" s="8"/>
      <c r="D259" s="8"/>
      <c r="E259" s="9"/>
      <c r="F259" s="7"/>
      <c r="G259" s="10" t="n">
        <f aca="false">YEAR(Zeiterfassung[[#This Row],[Datum]])</f>
        <v>1899</v>
      </c>
      <c r="H259" s="10" t="n">
        <f aca="false">WEEKNUM(A259,2)</f>
        <v>53</v>
      </c>
      <c r="J259" s="0"/>
    </row>
    <row r="260" customFormat="false" ht="13.8" hidden="false" customHeight="false" outlineLevel="0" collapsed="false">
      <c r="A260" s="6"/>
      <c r="B260" s="7"/>
      <c r="C260" s="8"/>
      <c r="D260" s="8"/>
      <c r="E260" s="9"/>
      <c r="F260" s="7"/>
      <c r="G260" s="10" t="n">
        <f aca="false">YEAR(Zeiterfassung[[#This Row],[Datum]])</f>
        <v>1899</v>
      </c>
      <c r="H260" s="10" t="n">
        <f aca="false">WEEKNUM(A260,2)</f>
        <v>53</v>
      </c>
      <c r="J260" s="0"/>
    </row>
    <row r="261" customFormat="false" ht="13.8" hidden="false" customHeight="false" outlineLevel="0" collapsed="false">
      <c r="A261" s="6"/>
      <c r="B261" s="7"/>
      <c r="C261" s="8"/>
      <c r="D261" s="8"/>
      <c r="E261" s="9"/>
      <c r="F261" s="7"/>
      <c r="G261" s="10" t="n">
        <f aca="false">YEAR(Zeiterfassung[[#This Row],[Datum]])</f>
        <v>1899</v>
      </c>
      <c r="H261" s="10" t="n">
        <f aca="false">WEEKNUM(A261,2)</f>
        <v>53</v>
      </c>
      <c r="J261" s="0"/>
    </row>
    <row r="262" customFormat="false" ht="13.8" hidden="false" customHeight="false" outlineLevel="0" collapsed="false">
      <c r="A262" s="6"/>
      <c r="B262" s="7"/>
      <c r="C262" s="8"/>
      <c r="D262" s="8"/>
      <c r="E262" s="9"/>
      <c r="F262" s="7"/>
      <c r="G262" s="10" t="n">
        <f aca="false">YEAR(Zeiterfassung[[#This Row],[Datum]])</f>
        <v>1899</v>
      </c>
      <c r="H262" s="10" t="n">
        <f aca="false">WEEKNUM(A262,2)</f>
        <v>53</v>
      </c>
      <c r="J262" s="0"/>
    </row>
    <row r="263" customFormat="false" ht="13.8" hidden="false" customHeight="false" outlineLevel="0" collapsed="false">
      <c r="A263" s="6"/>
      <c r="B263" s="7"/>
      <c r="C263" s="8"/>
      <c r="D263" s="8"/>
      <c r="E263" s="9"/>
      <c r="F263" s="7"/>
      <c r="G263" s="10" t="n">
        <f aca="false">YEAR(Zeiterfassung[[#This Row],[Datum]])</f>
        <v>1899</v>
      </c>
      <c r="H263" s="10" t="n">
        <f aca="false">WEEKNUM(A263,2)</f>
        <v>53</v>
      </c>
      <c r="J263" s="0"/>
    </row>
    <row r="264" customFormat="false" ht="13.8" hidden="false" customHeight="false" outlineLevel="0" collapsed="false">
      <c r="A264" s="6"/>
      <c r="B264" s="7"/>
      <c r="C264" s="8"/>
      <c r="D264" s="8"/>
      <c r="E264" s="9"/>
      <c r="F264" s="7"/>
      <c r="G264" s="10" t="n">
        <f aca="false">YEAR(Zeiterfassung[[#This Row],[Datum]])</f>
        <v>1899</v>
      </c>
      <c r="H264" s="10" t="n">
        <f aca="false">WEEKNUM(A264,2)</f>
        <v>53</v>
      </c>
      <c r="J264" s="0"/>
    </row>
    <row r="265" customFormat="false" ht="13.8" hidden="false" customHeight="false" outlineLevel="0" collapsed="false">
      <c r="A265" s="6"/>
      <c r="B265" s="7"/>
      <c r="C265" s="8"/>
      <c r="D265" s="8"/>
      <c r="E265" s="9"/>
      <c r="F265" s="7"/>
      <c r="G265" s="10" t="n">
        <f aca="false">YEAR(Zeiterfassung[[#This Row],[Datum]])</f>
        <v>1899</v>
      </c>
      <c r="H265" s="10" t="n">
        <f aca="false">WEEKNUM(A265,2)</f>
        <v>53</v>
      </c>
      <c r="J265" s="0"/>
    </row>
    <row r="266" customFormat="false" ht="13.8" hidden="false" customHeight="false" outlineLevel="0" collapsed="false">
      <c r="A266" s="6"/>
      <c r="B266" s="7"/>
      <c r="C266" s="8"/>
      <c r="D266" s="8"/>
      <c r="E266" s="9"/>
      <c r="F266" s="7"/>
      <c r="G266" s="10" t="n">
        <f aca="false">YEAR(Zeiterfassung[[#This Row],[Datum]])</f>
        <v>1899</v>
      </c>
      <c r="H266" s="10" t="n">
        <f aca="false">WEEKNUM(A266,2)</f>
        <v>53</v>
      </c>
      <c r="J266" s="0"/>
    </row>
    <row r="267" customFormat="false" ht="13.8" hidden="false" customHeight="false" outlineLevel="0" collapsed="false">
      <c r="A267" s="6"/>
      <c r="B267" s="7"/>
      <c r="C267" s="8"/>
      <c r="D267" s="8"/>
      <c r="E267" s="9"/>
      <c r="F267" s="7"/>
      <c r="G267" s="10" t="n">
        <f aca="false">YEAR(Zeiterfassung[[#This Row],[Datum]])</f>
        <v>1899</v>
      </c>
      <c r="H267" s="10" t="n">
        <f aca="false">WEEKNUM(A267,2)</f>
        <v>53</v>
      </c>
      <c r="J267" s="0"/>
    </row>
    <row r="268" customFormat="false" ht="13.8" hidden="false" customHeight="false" outlineLevel="0" collapsed="false">
      <c r="A268" s="6"/>
      <c r="B268" s="7"/>
      <c r="C268" s="8"/>
      <c r="D268" s="8"/>
      <c r="E268" s="9"/>
      <c r="F268" s="7"/>
      <c r="G268" s="10" t="n">
        <f aca="false">YEAR(Zeiterfassung[[#This Row],[Datum]])</f>
        <v>1899</v>
      </c>
      <c r="H268" s="10" t="n">
        <f aca="false">WEEKNUM(A268,2)</f>
        <v>53</v>
      </c>
      <c r="J268" s="0"/>
    </row>
    <row r="269" customFormat="false" ht="13.8" hidden="false" customHeight="false" outlineLevel="0" collapsed="false">
      <c r="A269" s="6"/>
      <c r="B269" s="7"/>
      <c r="C269" s="8"/>
      <c r="D269" s="8"/>
      <c r="E269" s="9"/>
      <c r="F269" s="7"/>
      <c r="G269" s="10" t="n">
        <f aca="false">YEAR(Zeiterfassung[[#This Row],[Datum]])</f>
        <v>1899</v>
      </c>
      <c r="H269" s="10" t="n">
        <f aca="false">WEEKNUM(A269,2)</f>
        <v>53</v>
      </c>
      <c r="J269" s="0"/>
    </row>
    <row r="270" customFormat="false" ht="13.8" hidden="false" customHeight="false" outlineLevel="0" collapsed="false">
      <c r="A270" s="6"/>
      <c r="B270" s="7"/>
      <c r="C270" s="8"/>
      <c r="D270" s="8"/>
      <c r="E270" s="9"/>
      <c r="F270" s="7"/>
      <c r="G270" s="10" t="n">
        <f aca="false">YEAR(Zeiterfassung[[#This Row],[Datum]])</f>
        <v>1899</v>
      </c>
      <c r="H270" s="10" t="n">
        <f aca="false">WEEKNUM(A270,2)</f>
        <v>53</v>
      </c>
      <c r="J270" s="0"/>
    </row>
    <row r="271" customFormat="false" ht="13.8" hidden="false" customHeight="false" outlineLevel="0" collapsed="false">
      <c r="A271" s="6"/>
      <c r="B271" s="7"/>
      <c r="C271" s="8"/>
      <c r="D271" s="8"/>
      <c r="E271" s="9"/>
      <c r="F271" s="7"/>
      <c r="G271" s="10" t="n">
        <f aca="false">YEAR(Zeiterfassung[[#This Row],[Datum]])</f>
        <v>1899</v>
      </c>
      <c r="H271" s="10" t="n">
        <f aca="false">WEEKNUM(A271,2)</f>
        <v>53</v>
      </c>
      <c r="J271" s="0"/>
    </row>
    <row r="272" customFormat="false" ht="13.8" hidden="false" customHeight="false" outlineLevel="0" collapsed="false">
      <c r="A272" s="6"/>
      <c r="B272" s="7"/>
      <c r="C272" s="8"/>
      <c r="D272" s="8"/>
      <c r="E272" s="9"/>
      <c r="F272" s="7"/>
      <c r="G272" s="10" t="n">
        <f aca="false">YEAR(Zeiterfassung[[#This Row],[Datum]])</f>
        <v>1899</v>
      </c>
      <c r="H272" s="10" t="n">
        <f aca="false">WEEKNUM(A272,2)</f>
        <v>53</v>
      </c>
      <c r="J272" s="0"/>
    </row>
    <row r="273" customFormat="false" ht="13.8" hidden="false" customHeight="false" outlineLevel="0" collapsed="false">
      <c r="A273" s="6"/>
      <c r="B273" s="7"/>
      <c r="C273" s="8"/>
      <c r="D273" s="8"/>
      <c r="E273" s="9"/>
      <c r="F273" s="7"/>
      <c r="G273" s="10" t="n">
        <f aca="false">YEAR(Zeiterfassung[[#This Row],[Datum]])</f>
        <v>1899</v>
      </c>
      <c r="H273" s="10" t="n">
        <f aca="false">WEEKNUM(A273,2)</f>
        <v>53</v>
      </c>
      <c r="J273" s="0"/>
    </row>
    <row r="274" customFormat="false" ht="13.8" hidden="false" customHeight="false" outlineLevel="0" collapsed="false">
      <c r="A274" s="6"/>
      <c r="B274" s="7"/>
      <c r="C274" s="8"/>
      <c r="D274" s="8"/>
      <c r="E274" s="9"/>
      <c r="F274" s="7"/>
      <c r="G274" s="10" t="n">
        <f aca="false">YEAR(Zeiterfassung[[#This Row],[Datum]])</f>
        <v>1899</v>
      </c>
      <c r="H274" s="10" t="n">
        <f aca="false">WEEKNUM(A274,2)</f>
        <v>53</v>
      </c>
      <c r="J274" s="0"/>
    </row>
    <row r="275" customFormat="false" ht="13.8" hidden="false" customHeight="false" outlineLevel="0" collapsed="false">
      <c r="A275" s="6"/>
      <c r="B275" s="7"/>
      <c r="C275" s="8"/>
      <c r="D275" s="8"/>
      <c r="E275" s="9"/>
      <c r="F275" s="7"/>
      <c r="G275" s="10" t="n">
        <f aca="false">YEAR(Zeiterfassung[[#This Row],[Datum]])</f>
        <v>1899</v>
      </c>
      <c r="H275" s="10" t="n">
        <f aca="false">WEEKNUM(A275,2)</f>
        <v>53</v>
      </c>
      <c r="J275" s="0"/>
    </row>
    <row r="276" customFormat="false" ht="13.8" hidden="false" customHeight="false" outlineLevel="0" collapsed="false">
      <c r="A276" s="6"/>
      <c r="B276" s="7"/>
      <c r="C276" s="8"/>
      <c r="D276" s="8"/>
      <c r="E276" s="9"/>
      <c r="F276" s="7"/>
      <c r="G276" s="10" t="n">
        <f aca="false">YEAR(Zeiterfassung[[#This Row],[Datum]])</f>
        <v>1899</v>
      </c>
      <c r="H276" s="10" t="n">
        <f aca="false">WEEKNUM(A276,2)</f>
        <v>53</v>
      </c>
      <c r="J276" s="0"/>
    </row>
    <row r="277" customFormat="false" ht="13.8" hidden="false" customHeight="false" outlineLevel="0" collapsed="false">
      <c r="A277" s="6"/>
      <c r="B277" s="7"/>
      <c r="C277" s="8"/>
      <c r="D277" s="8"/>
      <c r="E277" s="9"/>
      <c r="F277" s="7"/>
      <c r="G277" s="10" t="n">
        <f aca="false">YEAR(Zeiterfassung[[#This Row],[Datum]])</f>
        <v>1899</v>
      </c>
      <c r="H277" s="10" t="n">
        <f aca="false">WEEKNUM(A277,2)</f>
        <v>53</v>
      </c>
      <c r="J277" s="0"/>
    </row>
    <row r="278" customFormat="false" ht="13.8" hidden="false" customHeight="false" outlineLevel="0" collapsed="false">
      <c r="A278" s="6"/>
      <c r="B278" s="7"/>
      <c r="C278" s="8"/>
      <c r="D278" s="8"/>
      <c r="E278" s="9"/>
      <c r="F278" s="7"/>
      <c r="G278" s="10" t="n">
        <f aca="false">YEAR(Zeiterfassung[[#This Row],[Datum]])</f>
        <v>1899</v>
      </c>
      <c r="H278" s="10" t="n">
        <f aca="false">WEEKNUM(A278,2)</f>
        <v>53</v>
      </c>
      <c r="J278" s="0"/>
    </row>
    <row r="279" customFormat="false" ht="13.8" hidden="false" customHeight="false" outlineLevel="0" collapsed="false">
      <c r="A279" s="6"/>
      <c r="B279" s="7"/>
      <c r="C279" s="8"/>
      <c r="D279" s="8"/>
      <c r="E279" s="9"/>
      <c r="F279" s="7"/>
      <c r="G279" s="10" t="n">
        <f aca="false">YEAR(Zeiterfassung[[#This Row],[Datum]])</f>
        <v>1899</v>
      </c>
      <c r="H279" s="10" t="n">
        <f aca="false">WEEKNUM(A279,2)</f>
        <v>53</v>
      </c>
      <c r="J279" s="0"/>
    </row>
    <row r="280" customFormat="false" ht="13.8" hidden="false" customHeight="false" outlineLevel="0" collapsed="false">
      <c r="A280" s="6"/>
      <c r="B280" s="7"/>
      <c r="C280" s="8"/>
      <c r="D280" s="8"/>
      <c r="E280" s="9"/>
      <c r="F280" s="7"/>
      <c r="G280" s="10" t="n">
        <f aca="false">YEAR(Zeiterfassung[[#This Row],[Datum]])</f>
        <v>1899</v>
      </c>
      <c r="H280" s="10" t="n">
        <f aca="false">WEEKNUM(A280,2)</f>
        <v>53</v>
      </c>
      <c r="J280" s="0"/>
    </row>
    <row r="281" customFormat="false" ht="13.8" hidden="false" customHeight="false" outlineLevel="0" collapsed="false">
      <c r="A281" s="6"/>
      <c r="B281" s="7"/>
      <c r="C281" s="8"/>
      <c r="D281" s="8"/>
      <c r="E281" s="9"/>
      <c r="F281" s="7"/>
      <c r="G281" s="10" t="n">
        <f aca="false">YEAR(Zeiterfassung[[#This Row],[Datum]])</f>
        <v>1899</v>
      </c>
      <c r="H281" s="10" t="n">
        <f aca="false">WEEKNUM(A281,2)</f>
        <v>53</v>
      </c>
      <c r="J281" s="0"/>
    </row>
    <row r="282" customFormat="false" ht="13.8" hidden="false" customHeight="false" outlineLevel="0" collapsed="false">
      <c r="A282" s="6"/>
      <c r="B282" s="7"/>
      <c r="C282" s="8"/>
      <c r="D282" s="8"/>
      <c r="E282" s="9"/>
      <c r="F282" s="7"/>
      <c r="G282" s="10" t="n">
        <f aca="false">YEAR(Zeiterfassung[[#This Row],[Datum]])</f>
        <v>1899</v>
      </c>
      <c r="H282" s="10" t="n">
        <f aca="false">WEEKNUM(A282,2)</f>
        <v>53</v>
      </c>
      <c r="J282" s="0"/>
    </row>
    <row r="283" customFormat="false" ht="13.8" hidden="false" customHeight="false" outlineLevel="0" collapsed="false">
      <c r="A283" s="6"/>
      <c r="B283" s="7"/>
      <c r="C283" s="8"/>
      <c r="D283" s="8"/>
      <c r="E283" s="9"/>
      <c r="F283" s="7"/>
      <c r="G283" s="10" t="n">
        <f aca="false">YEAR(Zeiterfassung[[#This Row],[Datum]])</f>
        <v>1899</v>
      </c>
      <c r="H283" s="10" t="n">
        <f aca="false">WEEKNUM(A283,2)</f>
        <v>53</v>
      </c>
      <c r="J283" s="0"/>
    </row>
    <row r="284" customFormat="false" ht="13.8" hidden="false" customHeight="false" outlineLevel="0" collapsed="false">
      <c r="A284" s="6"/>
      <c r="B284" s="7"/>
      <c r="C284" s="8"/>
      <c r="D284" s="8"/>
      <c r="E284" s="9"/>
      <c r="F284" s="7"/>
      <c r="G284" s="10" t="n">
        <f aca="false">YEAR(Zeiterfassung[[#This Row],[Datum]])</f>
        <v>1899</v>
      </c>
      <c r="H284" s="10" t="n">
        <f aca="false">WEEKNUM(A284,2)</f>
        <v>53</v>
      </c>
      <c r="J284" s="0"/>
    </row>
    <row r="285" customFormat="false" ht="13.8" hidden="false" customHeight="false" outlineLevel="0" collapsed="false">
      <c r="A285" s="6"/>
      <c r="B285" s="7"/>
      <c r="C285" s="8"/>
      <c r="D285" s="8"/>
      <c r="E285" s="9"/>
      <c r="F285" s="7"/>
      <c r="G285" s="10" t="n">
        <f aca="false">YEAR(Zeiterfassung[[#This Row],[Datum]])</f>
        <v>1899</v>
      </c>
      <c r="H285" s="10" t="n">
        <f aca="false">WEEKNUM(A285,2)</f>
        <v>53</v>
      </c>
      <c r="J285" s="0"/>
    </row>
    <row r="286" customFormat="false" ht="13.8" hidden="false" customHeight="false" outlineLevel="0" collapsed="false">
      <c r="A286" s="6"/>
      <c r="B286" s="7"/>
      <c r="C286" s="8"/>
      <c r="D286" s="8"/>
      <c r="E286" s="9"/>
      <c r="F286" s="7"/>
      <c r="G286" s="10" t="n">
        <f aca="false">YEAR(Zeiterfassung[[#This Row],[Datum]])</f>
        <v>1899</v>
      </c>
      <c r="H286" s="10" t="n">
        <f aca="false">WEEKNUM(A286,2)</f>
        <v>53</v>
      </c>
      <c r="J286" s="0"/>
    </row>
    <row r="287" customFormat="false" ht="13.8" hidden="false" customHeight="false" outlineLevel="0" collapsed="false">
      <c r="A287" s="6"/>
      <c r="B287" s="7"/>
      <c r="C287" s="8"/>
      <c r="D287" s="8"/>
      <c r="E287" s="9"/>
      <c r="F287" s="7"/>
      <c r="G287" s="10" t="n">
        <f aca="false">YEAR(Zeiterfassung[[#This Row],[Datum]])</f>
        <v>1899</v>
      </c>
      <c r="H287" s="10" t="n">
        <f aca="false">WEEKNUM(A287,2)</f>
        <v>53</v>
      </c>
      <c r="J287" s="0"/>
    </row>
    <row r="288" customFormat="false" ht="13.8" hidden="false" customHeight="false" outlineLevel="0" collapsed="false">
      <c r="A288" s="6"/>
      <c r="B288" s="7"/>
      <c r="C288" s="8"/>
      <c r="D288" s="8"/>
      <c r="E288" s="9"/>
      <c r="F288" s="7"/>
      <c r="G288" s="10" t="n">
        <f aca="false">YEAR(Zeiterfassung[[#This Row],[Datum]])</f>
        <v>1899</v>
      </c>
      <c r="H288" s="10" t="n">
        <f aca="false">WEEKNUM(A288,2)</f>
        <v>53</v>
      </c>
      <c r="J288" s="0"/>
    </row>
    <row r="289" customFormat="false" ht="13.8" hidden="false" customHeight="false" outlineLevel="0" collapsed="false">
      <c r="A289" s="6"/>
      <c r="B289" s="7"/>
      <c r="C289" s="8"/>
      <c r="D289" s="8"/>
      <c r="E289" s="9"/>
      <c r="F289" s="7"/>
      <c r="G289" s="10" t="n">
        <f aca="false">YEAR(Zeiterfassung[[#This Row],[Datum]])</f>
        <v>1899</v>
      </c>
      <c r="H289" s="10" t="n">
        <f aca="false">WEEKNUM(A289,2)</f>
        <v>53</v>
      </c>
      <c r="J289" s="0"/>
    </row>
    <row r="290" customFormat="false" ht="13.8" hidden="false" customHeight="false" outlineLevel="0" collapsed="false">
      <c r="A290" s="6"/>
      <c r="B290" s="7"/>
      <c r="C290" s="8"/>
      <c r="D290" s="8"/>
      <c r="E290" s="9"/>
      <c r="F290" s="7"/>
      <c r="G290" s="10" t="n">
        <f aca="false">YEAR(Zeiterfassung[[#This Row],[Datum]])</f>
        <v>1899</v>
      </c>
      <c r="H290" s="10" t="n">
        <f aca="false">WEEKNUM(A290,2)</f>
        <v>53</v>
      </c>
      <c r="J290" s="0"/>
    </row>
    <row r="291" customFormat="false" ht="13.8" hidden="false" customHeight="false" outlineLevel="0" collapsed="false">
      <c r="A291" s="6"/>
      <c r="B291" s="7"/>
      <c r="C291" s="8"/>
      <c r="D291" s="8"/>
      <c r="E291" s="9"/>
      <c r="F291" s="7"/>
      <c r="G291" s="10" t="n">
        <f aca="false">YEAR(Zeiterfassung[[#This Row],[Datum]])</f>
        <v>1899</v>
      </c>
      <c r="H291" s="10" t="n">
        <f aca="false">WEEKNUM(A291,2)</f>
        <v>53</v>
      </c>
      <c r="J291" s="0"/>
    </row>
    <row r="292" customFormat="false" ht="13.8" hidden="false" customHeight="false" outlineLevel="0" collapsed="false">
      <c r="A292" s="6"/>
      <c r="B292" s="7"/>
      <c r="C292" s="8"/>
      <c r="D292" s="8"/>
      <c r="E292" s="9"/>
      <c r="F292" s="7"/>
      <c r="G292" s="10" t="n">
        <f aca="false">YEAR(Zeiterfassung[[#This Row],[Datum]])</f>
        <v>1899</v>
      </c>
      <c r="H292" s="10" t="n">
        <f aca="false">WEEKNUM(A292,2)</f>
        <v>53</v>
      </c>
      <c r="J292" s="0"/>
    </row>
    <row r="293" customFormat="false" ht="13.8" hidden="false" customHeight="false" outlineLevel="0" collapsed="false">
      <c r="A293" s="6"/>
      <c r="B293" s="7"/>
      <c r="C293" s="8"/>
      <c r="D293" s="8"/>
      <c r="E293" s="9"/>
      <c r="F293" s="7"/>
      <c r="G293" s="10" t="n">
        <f aca="false">YEAR(Zeiterfassung[[#This Row],[Datum]])</f>
        <v>1899</v>
      </c>
      <c r="H293" s="10" t="n">
        <f aca="false">WEEKNUM(A293,2)</f>
        <v>53</v>
      </c>
      <c r="J293" s="0"/>
    </row>
    <row r="294" customFormat="false" ht="13.8" hidden="false" customHeight="false" outlineLevel="0" collapsed="false">
      <c r="A294" s="6"/>
      <c r="B294" s="7"/>
      <c r="C294" s="8"/>
      <c r="D294" s="8"/>
      <c r="E294" s="9"/>
      <c r="F294" s="7"/>
      <c r="G294" s="10" t="n">
        <f aca="false">YEAR(Zeiterfassung[[#This Row],[Datum]])</f>
        <v>1899</v>
      </c>
      <c r="H294" s="10" t="n">
        <f aca="false">WEEKNUM(A294,2)</f>
        <v>53</v>
      </c>
      <c r="J294" s="0"/>
    </row>
    <row r="295" customFormat="false" ht="13.8" hidden="false" customHeight="false" outlineLevel="0" collapsed="false">
      <c r="A295" s="6"/>
      <c r="B295" s="7"/>
      <c r="C295" s="8"/>
      <c r="D295" s="8"/>
      <c r="E295" s="9"/>
      <c r="F295" s="7"/>
      <c r="G295" s="10" t="n">
        <f aca="false">YEAR(Zeiterfassung[[#This Row],[Datum]])</f>
        <v>1899</v>
      </c>
      <c r="H295" s="10" t="n">
        <f aca="false">WEEKNUM(A295,2)</f>
        <v>53</v>
      </c>
      <c r="J295" s="0"/>
    </row>
    <row r="296" customFormat="false" ht="13.8" hidden="false" customHeight="false" outlineLevel="0" collapsed="false">
      <c r="A296" s="6"/>
      <c r="B296" s="7"/>
      <c r="C296" s="8"/>
      <c r="D296" s="8"/>
      <c r="E296" s="9"/>
      <c r="F296" s="7"/>
      <c r="G296" s="10" t="n">
        <f aca="false">YEAR(Zeiterfassung[[#This Row],[Datum]])</f>
        <v>1899</v>
      </c>
      <c r="H296" s="10" t="n">
        <f aca="false">WEEKNUM(A296,2)</f>
        <v>53</v>
      </c>
      <c r="J296" s="0"/>
    </row>
    <row r="297" customFormat="false" ht="13.8" hidden="false" customHeight="false" outlineLevel="0" collapsed="false">
      <c r="A297" s="6"/>
      <c r="B297" s="7"/>
      <c r="C297" s="8"/>
      <c r="D297" s="8"/>
      <c r="E297" s="9"/>
      <c r="F297" s="7"/>
      <c r="G297" s="10" t="n">
        <f aca="false">YEAR(Zeiterfassung[[#This Row],[Datum]])</f>
        <v>1899</v>
      </c>
      <c r="H297" s="10" t="n">
        <f aca="false">WEEKNUM(A297,2)</f>
        <v>53</v>
      </c>
      <c r="J297" s="0"/>
    </row>
    <row r="298" customFormat="false" ht="13.8" hidden="false" customHeight="false" outlineLevel="0" collapsed="false">
      <c r="A298" s="6"/>
      <c r="B298" s="7"/>
      <c r="C298" s="8"/>
      <c r="D298" s="8"/>
      <c r="E298" s="9"/>
      <c r="F298" s="7"/>
      <c r="G298" s="10" t="n">
        <f aca="false">YEAR(Zeiterfassung[[#This Row],[Datum]])</f>
        <v>1899</v>
      </c>
      <c r="H298" s="10" t="n">
        <f aca="false">WEEKNUM(A298,2)</f>
        <v>53</v>
      </c>
      <c r="J298" s="0"/>
    </row>
    <row r="299" customFormat="false" ht="13.8" hidden="false" customHeight="false" outlineLevel="0" collapsed="false">
      <c r="A299" s="6"/>
      <c r="B299" s="7"/>
      <c r="C299" s="8"/>
      <c r="D299" s="8"/>
      <c r="E299" s="9"/>
      <c r="F299" s="7"/>
      <c r="G299" s="10" t="n">
        <f aca="false">YEAR(Zeiterfassung[[#This Row],[Datum]])</f>
        <v>1899</v>
      </c>
      <c r="H299" s="10" t="n">
        <f aca="false">WEEKNUM(A299,2)</f>
        <v>53</v>
      </c>
      <c r="J299" s="0"/>
    </row>
    <row r="300" customFormat="false" ht="13.8" hidden="false" customHeight="false" outlineLevel="0" collapsed="false">
      <c r="A300" s="6"/>
      <c r="B300" s="7"/>
      <c r="C300" s="8"/>
      <c r="D300" s="8"/>
      <c r="E300" s="9"/>
      <c r="F300" s="7"/>
      <c r="G300" s="10" t="n">
        <f aca="false">YEAR(Zeiterfassung[[#This Row],[Datum]])</f>
        <v>1899</v>
      </c>
      <c r="H300" s="10" t="n">
        <f aca="false">WEEKNUM(A300,2)</f>
        <v>53</v>
      </c>
      <c r="J300" s="0"/>
    </row>
    <row r="301" customFormat="false" ht="13.8" hidden="false" customHeight="false" outlineLevel="0" collapsed="false">
      <c r="A301" s="6"/>
      <c r="B301" s="7"/>
      <c r="C301" s="8"/>
      <c r="D301" s="8"/>
      <c r="E301" s="9"/>
      <c r="F301" s="7"/>
      <c r="G301" s="10" t="n">
        <f aca="false">YEAR(Zeiterfassung[[#This Row],[Datum]])</f>
        <v>1899</v>
      </c>
      <c r="H301" s="10" t="n">
        <f aca="false">WEEKNUM(A301,2)</f>
        <v>53</v>
      </c>
      <c r="J301" s="0"/>
    </row>
    <row r="302" customFormat="false" ht="13.8" hidden="false" customHeight="false" outlineLevel="0" collapsed="false">
      <c r="A302" s="6"/>
      <c r="B302" s="7"/>
      <c r="C302" s="8"/>
      <c r="D302" s="8"/>
      <c r="E302" s="9"/>
      <c r="F302" s="7"/>
      <c r="G302" s="10" t="n">
        <f aca="false">YEAR(Zeiterfassung[[#This Row],[Datum]])</f>
        <v>1899</v>
      </c>
      <c r="H302" s="10" t="n">
        <f aca="false">WEEKNUM(A302,2)</f>
        <v>53</v>
      </c>
      <c r="J302" s="0"/>
    </row>
    <row r="303" customFormat="false" ht="13.8" hidden="false" customHeight="false" outlineLevel="0" collapsed="false">
      <c r="A303" s="6"/>
      <c r="B303" s="7"/>
      <c r="C303" s="8"/>
      <c r="D303" s="8"/>
      <c r="E303" s="9"/>
      <c r="F303" s="7"/>
      <c r="G303" s="10" t="n">
        <f aca="false">YEAR(Zeiterfassung[[#This Row],[Datum]])</f>
        <v>1899</v>
      </c>
      <c r="H303" s="10" t="n">
        <f aca="false">WEEKNUM(A303,2)</f>
        <v>53</v>
      </c>
      <c r="J303" s="0"/>
    </row>
    <row r="304" customFormat="false" ht="13.8" hidden="false" customHeight="false" outlineLevel="0" collapsed="false">
      <c r="A304" s="6"/>
      <c r="B304" s="7"/>
      <c r="C304" s="8"/>
      <c r="D304" s="8"/>
      <c r="E304" s="9"/>
      <c r="F304" s="7"/>
      <c r="G304" s="10" t="n">
        <f aca="false">YEAR(Zeiterfassung[[#This Row],[Datum]])</f>
        <v>1899</v>
      </c>
      <c r="H304" s="10" t="n">
        <f aca="false">WEEKNUM(A304,2)</f>
        <v>53</v>
      </c>
      <c r="J304" s="0"/>
    </row>
    <row r="305" customFormat="false" ht="13.8" hidden="false" customHeight="false" outlineLevel="0" collapsed="false">
      <c r="A305" s="6"/>
      <c r="B305" s="7"/>
      <c r="C305" s="8"/>
      <c r="D305" s="8"/>
      <c r="E305" s="9"/>
      <c r="F305" s="7"/>
      <c r="G305" s="10" t="n">
        <f aca="false">YEAR(Zeiterfassung[[#This Row],[Datum]])</f>
        <v>1899</v>
      </c>
      <c r="H305" s="10" t="n">
        <f aca="false">WEEKNUM(A305,2)</f>
        <v>53</v>
      </c>
      <c r="J305" s="0"/>
    </row>
    <row r="306" customFormat="false" ht="13.8" hidden="false" customHeight="false" outlineLevel="0" collapsed="false">
      <c r="A306" s="6"/>
      <c r="B306" s="7"/>
      <c r="C306" s="8"/>
      <c r="D306" s="8"/>
      <c r="E306" s="9"/>
      <c r="F306" s="7"/>
      <c r="G306" s="10" t="n">
        <f aca="false">YEAR(Zeiterfassung[[#This Row],[Datum]])</f>
        <v>1899</v>
      </c>
      <c r="H306" s="10" t="n">
        <f aca="false">WEEKNUM(A306,2)</f>
        <v>53</v>
      </c>
      <c r="J306" s="0"/>
    </row>
    <row r="307" customFormat="false" ht="13.8" hidden="false" customHeight="false" outlineLevel="0" collapsed="false">
      <c r="A307" s="6"/>
      <c r="B307" s="7"/>
      <c r="C307" s="8"/>
      <c r="D307" s="8"/>
      <c r="E307" s="9"/>
      <c r="F307" s="7"/>
      <c r="G307" s="10" t="n">
        <f aca="false">YEAR(Zeiterfassung[[#This Row],[Datum]])</f>
        <v>1899</v>
      </c>
      <c r="H307" s="10" t="n">
        <f aca="false">WEEKNUM(A307,2)</f>
        <v>53</v>
      </c>
      <c r="J307" s="0"/>
    </row>
    <row r="308" customFormat="false" ht="13.8" hidden="false" customHeight="false" outlineLevel="0" collapsed="false">
      <c r="A308" s="6"/>
      <c r="B308" s="7"/>
      <c r="C308" s="8"/>
      <c r="D308" s="8"/>
      <c r="E308" s="9"/>
      <c r="F308" s="7"/>
      <c r="G308" s="10" t="n">
        <f aca="false">YEAR(Zeiterfassung[[#This Row],[Datum]])</f>
        <v>1899</v>
      </c>
      <c r="H308" s="10" t="n">
        <f aca="false">WEEKNUM(A308,2)</f>
        <v>53</v>
      </c>
      <c r="J308" s="0"/>
    </row>
    <row r="309" customFormat="false" ht="13.8" hidden="false" customHeight="false" outlineLevel="0" collapsed="false">
      <c r="A309" s="6"/>
      <c r="B309" s="7"/>
      <c r="C309" s="8"/>
      <c r="D309" s="8"/>
      <c r="E309" s="9"/>
      <c r="F309" s="7"/>
      <c r="G309" s="10" t="n">
        <f aca="false">YEAR(Zeiterfassung[[#This Row],[Datum]])</f>
        <v>1899</v>
      </c>
      <c r="H309" s="10" t="n">
        <f aca="false">WEEKNUM(A309,2)</f>
        <v>53</v>
      </c>
      <c r="J309" s="0"/>
    </row>
    <row r="310" customFormat="false" ht="13.8" hidden="false" customHeight="false" outlineLevel="0" collapsed="false">
      <c r="A310" s="6"/>
      <c r="B310" s="7"/>
      <c r="C310" s="8"/>
      <c r="D310" s="8"/>
      <c r="E310" s="9"/>
      <c r="F310" s="7"/>
      <c r="G310" s="10" t="n">
        <f aca="false">YEAR(Zeiterfassung[[#This Row],[Datum]])</f>
        <v>1899</v>
      </c>
      <c r="H310" s="10" t="n">
        <f aca="false">WEEKNUM(A310,2)</f>
        <v>53</v>
      </c>
      <c r="J310" s="0"/>
    </row>
    <row r="311" customFormat="false" ht="13.8" hidden="false" customHeight="false" outlineLevel="0" collapsed="false">
      <c r="A311" s="6"/>
      <c r="B311" s="7"/>
      <c r="C311" s="8"/>
      <c r="D311" s="8"/>
      <c r="E311" s="9"/>
      <c r="F311" s="7"/>
      <c r="G311" s="10" t="n">
        <f aca="false">YEAR(Zeiterfassung[[#This Row],[Datum]])</f>
        <v>1899</v>
      </c>
      <c r="H311" s="10" t="n">
        <f aca="false">WEEKNUM(A311,2)</f>
        <v>53</v>
      </c>
      <c r="J311" s="0"/>
    </row>
    <row r="312" customFormat="false" ht="13.8" hidden="false" customHeight="false" outlineLevel="0" collapsed="false">
      <c r="A312" s="6"/>
      <c r="B312" s="7"/>
      <c r="C312" s="8"/>
      <c r="D312" s="8"/>
      <c r="E312" s="9"/>
      <c r="F312" s="7"/>
      <c r="G312" s="10" t="n">
        <f aca="false">YEAR(Zeiterfassung[[#This Row],[Datum]])</f>
        <v>1899</v>
      </c>
      <c r="H312" s="10" t="n">
        <f aca="false">WEEKNUM(A312,2)</f>
        <v>53</v>
      </c>
      <c r="J312" s="0"/>
    </row>
    <row r="313" customFormat="false" ht="13.8" hidden="false" customHeight="false" outlineLevel="0" collapsed="false">
      <c r="A313" s="6"/>
      <c r="B313" s="7"/>
      <c r="C313" s="8"/>
      <c r="D313" s="8"/>
      <c r="E313" s="9"/>
      <c r="F313" s="7"/>
      <c r="G313" s="10" t="n">
        <f aca="false">YEAR(Zeiterfassung[[#This Row],[Datum]])</f>
        <v>1899</v>
      </c>
      <c r="H313" s="10" t="n">
        <f aca="false">WEEKNUM(A313,2)</f>
        <v>53</v>
      </c>
      <c r="J313" s="0"/>
    </row>
    <row r="314" customFormat="false" ht="13.8" hidden="false" customHeight="false" outlineLevel="0" collapsed="false">
      <c r="A314" s="6"/>
      <c r="B314" s="7"/>
      <c r="C314" s="8"/>
      <c r="D314" s="8"/>
      <c r="E314" s="9"/>
      <c r="F314" s="7"/>
      <c r="G314" s="10" t="n">
        <f aca="false">YEAR(Zeiterfassung[[#This Row],[Datum]])</f>
        <v>1899</v>
      </c>
      <c r="H314" s="10" t="n">
        <f aca="false">WEEKNUM(A314,2)</f>
        <v>53</v>
      </c>
      <c r="J314" s="0"/>
    </row>
    <row r="315" customFormat="false" ht="13.8" hidden="false" customHeight="false" outlineLevel="0" collapsed="false">
      <c r="A315" s="6"/>
      <c r="B315" s="7"/>
      <c r="C315" s="8"/>
      <c r="D315" s="8"/>
      <c r="E315" s="9"/>
      <c r="F315" s="7"/>
      <c r="G315" s="10" t="n">
        <f aca="false">YEAR(Zeiterfassung[[#This Row],[Datum]])</f>
        <v>1899</v>
      </c>
      <c r="H315" s="10" t="n">
        <f aca="false">WEEKNUM(A315,2)</f>
        <v>53</v>
      </c>
      <c r="J315" s="0"/>
    </row>
    <row r="316" customFormat="false" ht="13.8" hidden="false" customHeight="false" outlineLevel="0" collapsed="false">
      <c r="A316" s="6"/>
      <c r="B316" s="7"/>
      <c r="C316" s="8"/>
      <c r="D316" s="8"/>
      <c r="E316" s="9"/>
      <c r="F316" s="7"/>
      <c r="G316" s="10" t="n">
        <f aca="false">YEAR(Zeiterfassung[[#This Row],[Datum]])</f>
        <v>1899</v>
      </c>
      <c r="H316" s="10" t="n">
        <f aca="false">WEEKNUM(A316,2)</f>
        <v>53</v>
      </c>
      <c r="J316" s="0"/>
    </row>
    <row r="317" customFormat="false" ht="13.8" hidden="false" customHeight="false" outlineLevel="0" collapsed="false">
      <c r="A317" s="6"/>
      <c r="B317" s="7"/>
      <c r="C317" s="8"/>
      <c r="D317" s="8"/>
      <c r="E317" s="9"/>
      <c r="F317" s="7"/>
      <c r="G317" s="10" t="n">
        <f aca="false">YEAR(Zeiterfassung[[#This Row],[Datum]])</f>
        <v>1899</v>
      </c>
      <c r="H317" s="10" t="n">
        <f aca="false">WEEKNUM(A317,2)</f>
        <v>53</v>
      </c>
      <c r="J317" s="0"/>
    </row>
    <row r="318" customFormat="false" ht="13.8" hidden="false" customHeight="false" outlineLevel="0" collapsed="false">
      <c r="A318" s="6"/>
      <c r="B318" s="7"/>
      <c r="C318" s="8"/>
      <c r="D318" s="8"/>
      <c r="E318" s="9"/>
      <c r="F318" s="7"/>
      <c r="G318" s="10" t="n">
        <f aca="false">YEAR(Zeiterfassung[[#This Row],[Datum]])</f>
        <v>1899</v>
      </c>
      <c r="H318" s="10" t="n">
        <f aca="false">WEEKNUM(A318,2)</f>
        <v>53</v>
      </c>
      <c r="J318" s="0"/>
    </row>
    <row r="319" customFormat="false" ht="13.8" hidden="false" customHeight="false" outlineLevel="0" collapsed="false">
      <c r="A319" s="6"/>
      <c r="B319" s="7"/>
      <c r="C319" s="8"/>
      <c r="D319" s="8"/>
      <c r="E319" s="9"/>
      <c r="F319" s="7"/>
      <c r="G319" s="10" t="n">
        <f aca="false">YEAR(Zeiterfassung[[#This Row],[Datum]])</f>
        <v>1899</v>
      </c>
      <c r="H319" s="10" t="n">
        <f aca="false">WEEKNUM(A319,2)</f>
        <v>53</v>
      </c>
      <c r="J319" s="0"/>
    </row>
    <row r="320" customFormat="false" ht="13.8" hidden="false" customHeight="false" outlineLevel="0" collapsed="false">
      <c r="A320" s="6"/>
      <c r="B320" s="7"/>
      <c r="C320" s="8"/>
      <c r="D320" s="8"/>
      <c r="E320" s="9"/>
      <c r="F320" s="7"/>
      <c r="G320" s="10" t="n">
        <f aca="false">YEAR(Zeiterfassung[[#This Row],[Datum]])</f>
        <v>1899</v>
      </c>
      <c r="H320" s="10" t="n">
        <f aca="false">WEEKNUM(A320,2)</f>
        <v>53</v>
      </c>
      <c r="J320" s="0"/>
    </row>
    <row r="321" customFormat="false" ht="13.8" hidden="false" customHeight="false" outlineLevel="0" collapsed="false">
      <c r="A321" s="6"/>
      <c r="B321" s="7"/>
      <c r="C321" s="8"/>
      <c r="D321" s="8"/>
      <c r="E321" s="9"/>
      <c r="F321" s="7"/>
      <c r="G321" s="10" t="n">
        <f aca="false">YEAR(Zeiterfassung[[#This Row],[Datum]])</f>
        <v>1899</v>
      </c>
      <c r="H321" s="10" t="n">
        <f aca="false">WEEKNUM(A321,2)</f>
        <v>53</v>
      </c>
      <c r="J321" s="0"/>
    </row>
    <row r="322" customFormat="false" ht="13.8" hidden="false" customHeight="false" outlineLevel="0" collapsed="false">
      <c r="A322" s="6"/>
      <c r="B322" s="7"/>
      <c r="C322" s="8"/>
      <c r="D322" s="8"/>
      <c r="E322" s="9"/>
      <c r="F322" s="7"/>
      <c r="G322" s="10" t="n">
        <f aca="false">YEAR(Zeiterfassung[[#This Row],[Datum]])</f>
        <v>1899</v>
      </c>
      <c r="H322" s="10" t="n">
        <f aca="false">WEEKNUM(A322,2)</f>
        <v>53</v>
      </c>
      <c r="J322" s="0"/>
    </row>
    <row r="323" customFormat="false" ht="13.8" hidden="false" customHeight="false" outlineLevel="0" collapsed="false">
      <c r="A323" s="6"/>
      <c r="B323" s="7"/>
      <c r="C323" s="8"/>
      <c r="D323" s="8"/>
      <c r="E323" s="9"/>
      <c r="F323" s="7"/>
      <c r="G323" s="10" t="n">
        <f aca="false">YEAR(Zeiterfassung[[#This Row],[Datum]])</f>
        <v>1899</v>
      </c>
      <c r="H323" s="10" t="n">
        <f aca="false">WEEKNUM(A323,2)</f>
        <v>53</v>
      </c>
      <c r="J323" s="0"/>
    </row>
    <row r="324" customFormat="false" ht="13.8" hidden="false" customHeight="false" outlineLevel="0" collapsed="false">
      <c r="A324" s="6"/>
      <c r="B324" s="7"/>
      <c r="C324" s="8"/>
      <c r="D324" s="8"/>
      <c r="E324" s="9"/>
      <c r="F324" s="7"/>
      <c r="G324" s="10" t="n">
        <f aca="false">YEAR(Zeiterfassung[[#This Row],[Datum]])</f>
        <v>1899</v>
      </c>
      <c r="H324" s="10" t="n">
        <f aca="false">WEEKNUM(A324,2)</f>
        <v>53</v>
      </c>
      <c r="J324" s="0"/>
    </row>
    <row r="325" customFormat="false" ht="13.8" hidden="false" customHeight="false" outlineLevel="0" collapsed="false">
      <c r="A325" s="6"/>
      <c r="B325" s="7"/>
      <c r="C325" s="8"/>
      <c r="D325" s="8"/>
      <c r="E325" s="9"/>
      <c r="F325" s="7"/>
      <c r="G325" s="10" t="n">
        <f aca="false">YEAR(Zeiterfassung[[#This Row],[Datum]])</f>
        <v>1899</v>
      </c>
      <c r="H325" s="10" t="n">
        <f aca="false">WEEKNUM(A325,2)</f>
        <v>53</v>
      </c>
      <c r="J325" s="0"/>
    </row>
    <row r="326" customFormat="false" ht="13.8" hidden="false" customHeight="false" outlineLevel="0" collapsed="false">
      <c r="A326" s="6"/>
      <c r="B326" s="7"/>
      <c r="C326" s="8"/>
      <c r="D326" s="8"/>
      <c r="E326" s="9"/>
      <c r="F326" s="7"/>
      <c r="G326" s="10" t="n">
        <f aca="false">YEAR(Zeiterfassung[[#This Row],[Datum]])</f>
        <v>1899</v>
      </c>
      <c r="H326" s="10" t="n">
        <f aca="false">WEEKNUM(A326,2)</f>
        <v>53</v>
      </c>
      <c r="J326" s="0"/>
    </row>
    <row r="327" customFormat="false" ht="13.8" hidden="false" customHeight="false" outlineLevel="0" collapsed="false">
      <c r="A327" s="6"/>
      <c r="B327" s="7"/>
      <c r="C327" s="8"/>
      <c r="D327" s="8"/>
      <c r="E327" s="9"/>
      <c r="F327" s="7"/>
      <c r="G327" s="10" t="n">
        <f aca="false">YEAR(Zeiterfassung[[#This Row],[Datum]])</f>
        <v>1899</v>
      </c>
      <c r="H327" s="10" t="n">
        <f aca="false">WEEKNUM(A327,2)</f>
        <v>53</v>
      </c>
      <c r="J327" s="0"/>
    </row>
    <row r="328" customFormat="false" ht="13.8" hidden="false" customHeight="false" outlineLevel="0" collapsed="false">
      <c r="A328" s="6"/>
      <c r="B328" s="7"/>
      <c r="C328" s="8"/>
      <c r="D328" s="8"/>
      <c r="E328" s="9"/>
      <c r="F328" s="7"/>
      <c r="G328" s="10" t="n">
        <f aca="false">YEAR(Zeiterfassung[[#This Row],[Datum]])</f>
        <v>1899</v>
      </c>
      <c r="H328" s="10" t="n">
        <f aca="false">WEEKNUM(A328,2)</f>
        <v>53</v>
      </c>
      <c r="J328" s="0"/>
    </row>
    <row r="329" customFormat="false" ht="13.8" hidden="false" customHeight="false" outlineLevel="0" collapsed="false">
      <c r="A329" s="6"/>
      <c r="B329" s="7"/>
      <c r="C329" s="8"/>
      <c r="D329" s="8"/>
      <c r="E329" s="9"/>
      <c r="F329" s="7"/>
      <c r="G329" s="10" t="n">
        <f aca="false">YEAR(Zeiterfassung[[#This Row],[Datum]])</f>
        <v>1899</v>
      </c>
      <c r="H329" s="10" t="n">
        <f aca="false">WEEKNUM(A329,2)</f>
        <v>53</v>
      </c>
      <c r="J329" s="0"/>
    </row>
    <row r="330" customFormat="false" ht="13.8" hidden="false" customHeight="false" outlineLevel="0" collapsed="false">
      <c r="A330" s="6"/>
      <c r="B330" s="7"/>
      <c r="C330" s="8"/>
      <c r="D330" s="8"/>
      <c r="E330" s="9"/>
      <c r="F330" s="7"/>
      <c r="G330" s="10" t="n">
        <f aca="false">YEAR(Zeiterfassung[[#This Row],[Datum]])</f>
        <v>1899</v>
      </c>
      <c r="H330" s="10" t="n">
        <f aca="false">WEEKNUM(A330,2)</f>
        <v>53</v>
      </c>
      <c r="J330" s="0"/>
    </row>
    <row r="331" customFormat="false" ht="13.8" hidden="false" customHeight="false" outlineLevel="0" collapsed="false">
      <c r="A331" s="6"/>
      <c r="B331" s="7"/>
      <c r="C331" s="8"/>
      <c r="D331" s="8"/>
      <c r="E331" s="9"/>
      <c r="F331" s="7"/>
      <c r="G331" s="10" t="n">
        <f aca="false">YEAR(Zeiterfassung[[#This Row],[Datum]])</f>
        <v>1899</v>
      </c>
      <c r="H331" s="10" t="n">
        <f aca="false">WEEKNUM(A331,2)</f>
        <v>53</v>
      </c>
      <c r="J331" s="0"/>
    </row>
    <row r="332" customFormat="false" ht="13.8" hidden="false" customHeight="false" outlineLevel="0" collapsed="false">
      <c r="A332" s="6"/>
      <c r="B332" s="7"/>
      <c r="C332" s="8"/>
      <c r="D332" s="8"/>
      <c r="E332" s="9"/>
      <c r="F332" s="7"/>
      <c r="G332" s="10" t="n">
        <f aca="false">YEAR(Zeiterfassung[[#This Row],[Datum]])</f>
        <v>1899</v>
      </c>
      <c r="H332" s="10" t="n">
        <f aca="false">WEEKNUM(A332,2)</f>
        <v>53</v>
      </c>
      <c r="J332" s="0"/>
    </row>
    <row r="333" customFormat="false" ht="13.8" hidden="false" customHeight="false" outlineLevel="0" collapsed="false">
      <c r="A333" s="6"/>
      <c r="B333" s="7"/>
      <c r="C333" s="8"/>
      <c r="D333" s="8"/>
      <c r="E333" s="9"/>
      <c r="F333" s="7"/>
      <c r="G333" s="10" t="n">
        <f aca="false">YEAR(Zeiterfassung[[#This Row],[Datum]])</f>
        <v>1899</v>
      </c>
      <c r="H333" s="10" t="n">
        <f aca="false">WEEKNUM(A333,2)</f>
        <v>53</v>
      </c>
      <c r="J333" s="0"/>
    </row>
    <row r="334" customFormat="false" ht="13.8" hidden="false" customHeight="false" outlineLevel="0" collapsed="false">
      <c r="A334" s="6"/>
      <c r="B334" s="7"/>
      <c r="C334" s="8"/>
      <c r="D334" s="8"/>
      <c r="E334" s="9"/>
      <c r="F334" s="7"/>
      <c r="G334" s="10" t="n">
        <f aca="false">YEAR(Zeiterfassung[[#This Row],[Datum]])</f>
        <v>1899</v>
      </c>
      <c r="H334" s="10" t="n">
        <f aca="false">WEEKNUM(A334,2)</f>
        <v>53</v>
      </c>
      <c r="J334" s="0"/>
    </row>
    <row r="335" customFormat="false" ht="13.8" hidden="false" customHeight="false" outlineLevel="0" collapsed="false">
      <c r="A335" s="6"/>
      <c r="B335" s="7"/>
      <c r="C335" s="8"/>
      <c r="D335" s="8"/>
      <c r="E335" s="9"/>
      <c r="F335" s="7"/>
      <c r="G335" s="10" t="n">
        <f aca="false">YEAR(Zeiterfassung[[#This Row],[Datum]])</f>
        <v>1899</v>
      </c>
      <c r="H335" s="10" t="n">
        <f aca="false">WEEKNUM(A335,2)</f>
        <v>53</v>
      </c>
      <c r="J335" s="0"/>
    </row>
    <row r="336" customFormat="false" ht="13.8" hidden="false" customHeight="false" outlineLevel="0" collapsed="false">
      <c r="A336" s="6"/>
      <c r="B336" s="7"/>
      <c r="C336" s="8"/>
      <c r="D336" s="8"/>
      <c r="E336" s="9"/>
      <c r="F336" s="7"/>
      <c r="G336" s="10" t="n">
        <f aca="false">YEAR(Zeiterfassung[[#This Row],[Datum]])</f>
        <v>1899</v>
      </c>
      <c r="H336" s="10" t="n">
        <f aca="false">WEEKNUM(A336,2)</f>
        <v>53</v>
      </c>
      <c r="J336" s="0"/>
    </row>
    <row r="337" customFormat="false" ht="13.8" hidden="false" customHeight="false" outlineLevel="0" collapsed="false">
      <c r="A337" s="6"/>
      <c r="B337" s="7"/>
      <c r="C337" s="8"/>
      <c r="D337" s="8"/>
      <c r="E337" s="9"/>
      <c r="F337" s="7"/>
      <c r="G337" s="10" t="n">
        <f aca="false">YEAR(Zeiterfassung[[#This Row],[Datum]])</f>
        <v>1899</v>
      </c>
      <c r="H337" s="10" t="n">
        <f aca="false">WEEKNUM(A337,2)</f>
        <v>53</v>
      </c>
      <c r="J337" s="0"/>
    </row>
    <row r="338" customFormat="false" ht="13.8" hidden="false" customHeight="false" outlineLevel="0" collapsed="false">
      <c r="A338" s="6"/>
      <c r="B338" s="7"/>
      <c r="C338" s="8"/>
      <c r="D338" s="8"/>
      <c r="E338" s="9"/>
      <c r="F338" s="7"/>
      <c r="G338" s="10" t="n">
        <f aca="false">YEAR(Zeiterfassung[[#This Row],[Datum]])</f>
        <v>1899</v>
      </c>
      <c r="H338" s="10" t="n">
        <f aca="false">WEEKNUM(A338,2)</f>
        <v>53</v>
      </c>
      <c r="J338" s="0"/>
    </row>
    <row r="339" customFormat="false" ht="13.8" hidden="false" customHeight="false" outlineLevel="0" collapsed="false">
      <c r="A339" s="6"/>
      <c r="B339" s="7"/>
      <c r="C339" s="8"/>
      <c r="D339" s="8"/>
      <c r="E339" s="9"/>
      <c r="F339" s="7"/>
      <c r="G339" s="10" t="n">
        <f aca="false">YEAR(Zeiterfassung[[#This Row],[Datum]])</f>
        <v>1899</v>
      </c>
      <c r="H339" s="10" t="n">
        <f aca="false">WEEKNUM(A339,2)</f>
        <v>53</v>
      </c>
      <c r="J339" s="0"/>
    </row>
    <row r="340" customFormat="false" ht="13.8" hidden="false" customHeight="false" outlineLevel="0" collapsed="false">
      <c r="A340" s="6"/>
      <c r="B340" s="7"/>
      <c r="C340" s="8"/>
      <c r="D340" s="8"/>
      <c r="E340" s="9"/>
      <c r="F340" s="7"/>
      <c r="G340" s="10" t="n">
        <f aca="false">YEAR(Zeiterfassung[[#This Row],[Datum]])</f>
        <v>1899</v>
      </c>
      <c r="H340" s="10" t="n">
        <f aca="false">WEEKNUM(A340,2)</f>
        <v>53</v>
      </c>
      <c r="J340" s="0"/>
    </row>
    <row r="341" customFormat="false" ht="13.8" hidden="false" customHeight="false" outlineLevel="0" collapsed="false">
      <c r="A341" s="6"/>
      <c r="B341" s="7"/>
      <c r="C341" s="8"/>
      <c r="D341" s="8"/>
      <c r="E341" s="9"/>
      <c r="F341" s="7"/>
      <c r="G341" s="10" t="n">
        <f aca="false">YEAR(Zeiterfassung[[#This Row],[Datum]])</f>
        <v>1899</v>
      </c>
      <c r="H341" s="10" t="n">
        <f aca="false">WEEKNUM(A341,2)</f>
        <v>53</v>
      </c>
      <c r="J341" s="0"/>
    </row>
    <row r="342" customFormat="false" ht="13.8" hidden="false" customHeight="false" outlineLevel="0" collapsed="false">
      <c r="A342" s="6"/>
      <c r="B342" s="7"/>
      <c r="C342" s="8"/>
      <c r="D342" s="8"/>
      <c r="E342" s="9"/>
      <c r="F342" s="7"/>
      <c r="G342" s="10" t="n">
        <f aca="false">YEAR(Zeiterfassung[[#This Row],[Datum]])</f>
        <v>1899</v>
      </c>
      <c r="H342" s="10" t="n">
        <f aca="false">WEEKNUM(A342,2)</f>
        <v>53</v>
      </c>
      <c r="J342" s="0"/>
    </row>
    <row r="343" customFormat="false" ht="13.8" hidden="false" customHeight="false" outlineLevel="0" collapsed="false">
      <c r="A343" s="6"/>
      <c r="B343" s="7"/>
      <c r="C343" s="8"/>
      <c r="D343" s="8"/>
      <c r="E343" s="9"/>
      <c r="F343" s="7"/>
      <c r="G343" s="10" t="n">
        <f aca="false">YEAR(Zeiterfassung[[#This Row],[Datum]])</f>
        <v>1899</v>
      </c>
      <c r="H343" s="10" t="n">
        <f aca="false">WEEKNUM(A343,2)</f>
        <v>53</v>
      </c>
      <c r="J343" s="0"/>
    </row>
    <row r="344" customFormat="false" ht="13.8" hidden="false" customHeight="false" outlineLevel="0" collapsed="false">
      <c r="A344" s="6"/>
      <c r="B344" s="7"/>
      <c r="C344" s="8"/>
      <c r="D344" s="8"/>
      <c r="E344" s="9"/>
      <c r="F344" s="7"/>
      <c r="G344" s="10" t="n">
        <f aca="false">YEAR(Zeiterfassung[[#This Row],[Datum]])</f>
        <v>1899</v>
      </c>
      <c r="H344" s="10" t="n">
        <f aca="false">WEEKNUM(A344,2)</f>
        <v>53</v>
      </c>
      <c r="J344" s="0"/>
    </row>
    <row r="345" customFormat="false" ht="13.8" hidden="false" customHeight="false" outlineLevel="0" collapsed="false">
      <c r="A345" s="6"/>
      <c r="B345" s="7"/>
      <c r="C345" s="8"/>
      <c r="D345" s="8"/>
      <c r="E345" s="9"/>
      <c r="F345" s="7"/>
      <c r="G345" s="10" t="n">
        <f aca="false">YEAR(Zeiterfassung[[#This Row],[Datum]])</f>
        <v>1899</v>
      </c>
      <c r="H345" s="10" t="n">
        <f aca="false">WEEKNUM(A345,2)</f>
        <v>53</v>
      </c>
      <c r="J345" s="0"/>
    </row>
    <row r="346" customFormat="false" ht="13.8" hidden="false" customHeight="false" outlineLevel="0" collapsed="false">
      <c r="A346" s="6"/>
      <c r="B346" s="7"/>
      <c r="C346" s="8"/>
      <c r="D346" s="8"/>
      <c r="E346" s="9"/>
      <c r="F346" s="7"/>
      <c r="G346" s="10" t="n">
        <f aca="false">YEAR(Zeiterfassung[[#This Row],[Datum]])</f>
        <v>1899</v>
      </c>
      <c r="H346" s="10" t="n">
        <f aca="false">WEEKNUM(A346,2)</f>
        <v>53</v>
      </c>
      <c r="J346" s="0"/>
    </row>
    <row r="347" customFormat="false" ht="13.8" hidden="false" customHeight="false" outlineLevel="0" collapsed="false">
      <c r="A347" s="6"/>
      <c r="B347" s="7"/>
      <c r="C347" s="8"/>
      <c r="D347" s="8"/>
      <c r="E347" s="9"/>
      <c r="F347" s="7"/>
      <c r="G347" s="10" t="n">
        <f aca="false">YEAR(Zeiterfassung[[#This Row],[Datum]])</f>
        <v>1899</v>
      </c>
      <c r="H347" s="10" t="n">
        <f aca="false">WEEKNUM(A347,2)</f>
        <v>53</v>
      </c>
      <c r="J347" s="0"/>
    </row>
    <row r="348" customFormat="false" ht="13.8" hidden="false" customHeight="false" outlineLevel="0" collapsed="false">
      <c r="A348" s="6"/>
      <c r="B348" s="7"/>
      <c r="C348" s="8"/>
      <c r="D348" s="8"/>
      <c r="E348" s="9"/>
      <c r="F348" s="7"/>
      <c r="G348" s="10" t="n">
        <f aca="false">YEAR(Zeiterfassung[[#This Row],[Datum]])</f>
        <v>1899</v>
      </c>
      <c r="H348" s="10" t="n">
        <f aca="false">WEEKNUM(A348,2)</f>
        <v>53</v>
      </c>
      <c r="J348" s="0"/>
    </row>
    <row r="349" customFormat="false" ht="13.8" hidden="false" customHeight="false" outlineLevel="0" collapsed="false">
      <c r="A349" s="6"/>
      <c r="B349" s="7"/>
      <c r="C349" s="8"/>
      <c r="D349" s="8"/>
      <c r="E349" s="9"/>
      <c r="F349" s="7"/>
      <c r="G349" s="10" t="n">
        <f aca="false">YEAR(Zeiterfassung[[#This Row],[Datum]])</f>
        <v>1899</v>
      </c>
      <c r="H349" s="10" t="n">
        <f aca="false">WEEKNUM(A349,2)</f>
        <v>53</v>
      </c>
      <c r="J349" s="0"/>
    </row>
    <row r="350" customFormat="false" ht="13.8" hidden="false" customHeight="false" outlineLevel="0" collapsed="false">
      <c r="A350" s="6"/>
      <c r="B350" s="7"/>
      <c r="C350" s="8"/>
      <c r="D350" s="8"/>
      <c r="E350" s="9"/>
      <c r="F350" s="7"/>
      <c r="G350" s="10" t="n">
        <f aca="false">YEAR(Zeiterfassung[[#This Row],[Datum]])</f>
        <v>1899</v>
      </c>
      <c r="H350" s="10" t="n">
        <f aca="false">WEEKNUM(A350,2)</f>
        <v>53</v>
      </c>
      <c r="J350" s="0"/>
    </row>
    <row r="351" customFormat="false" ht="13.8" hidden="false" customHeight="false" outlineLevel="0" collapsed="false">
      <c r="A351" s="6"/>
      <c r="B351" s="7"/>
      <c r="C351" s="8"/>
      <c r="D351" s="8"/>
      <c r="E351" s="9"/>
      <c r="F351" s="7"/>
      <c r="G351" s="10" t="n">
        <f aca="false">YEAR(Zeiterfassung[[#This Row],[Datum]])</f>
        <v>1899</v>
      </c>
      <c r="H351" s="10" t="n">
        <f aca="false">WEEKNUM(A351,2)</f>
        <v>53</v>
      </c>
      <c r="J351" s="0"/>
    </row>
    <row r="352" customFormat="false" ht="13.8" hidden="false" customHeight="false" outlineLevel="0" collapsed="false">
      <c r="A352" s="6"/>
      <c r="B352" s="7"/>
      <c r="C352" s="8"/>
      <c r="D352" s="8"/>
      <c r="E352" s="9"/>
      <c r="F352" s="7"/>
      <c r="G352" s="10" t="n">
        <f aca="false">YEAR(Zeiterfassung[[#This Row],[Datum]])</f>
        <v>1899</v>
      </c>
      <c r="H352" s="10" t="n">
        <f aca="false">WEEKNUM(A352,2)</f>
        <v>53</v>
      </c>
      <c r="J352" s="0"/>
    </row>
    <row r="353" customFormat="false" ht="13.8" hidden="false" customHeight="false" outlineLevel="0" collapsed="false">
      <c r="A353" s="6"/>
      <c r="B353" s="7"/>
      <c r="C353" s="8"/>
      <c r="D353" s="8"/>
      <c r="E353" s="9"/>
      <c r="F353" s="7"/>
      <c r="G353" s="10" t="n">
        <f aca="false">YEAR(Zeiterfassung[[#This Row],[Datum]])</f>
        <v>1899</v>
      </c>
      <c r="H353" s="10" t="n">
        <f aca="false">WEEKNUM(A353,2)</f>
        <v>53</v>
      </c>
      <c r="J353" s="0"/>
    </row>
    <row r="354" customFormat="false" ht="13.8" hidden="false" customHeight="false" outlineLevel="0" collapsed="false">
      <c r="A354" s="6"/>
      <c r="B354" s="7"/>
      <c r="C354" s="8"/>
      <c r="D354" s="8"/>
      <c r="E354" s="9"/>
      <c r="F354" s="7"/>
      <c r="G354" s="10" t="n">
        <f aca="false">YEAR(Zeiterfassung[[#This Row],[Datum]])</f>
        <v>1899</v>
      </c>
      <c r="H354" s="10" t="n">
        <f aca="false">WEEKNUM(A354,2)</f>
        <v>53</v>
      </c>
      <c r="J354" s="0"/>
    </row>
    <row r="355" customFormat="false" ht="13.8" hidden="false" customHeight="false" outlineLevel="0" collapsed="false">
      <c r="A355" s="6"/>
      <c r="B355" s="7"/>
      <c r="C355" s="8"/>
      <c r="D355" s="8"/>
      <c r="E355" s="9"/>
      <c r="F355" s="7"/>
      <c r="G355" s="10" t="n">
        <f aca="false">YEAR(Zeiterfassung[[#This Row],[Datum]])</f>
        <v>1899</v>
      </c>
      <c r="H355" s="10" t="n">
        <f aca="false">WEEKNUM(A355,2)</f>
        <v>53</v>
      </c>
      <c r="J355" s="0"/>
    </row>
    <row r="356" customFormat="false" ht="13.8" hidden="false" customHeight="false" outlineLevel="0" collapsed="false">
      <c r="A356" s="6"/>
      <c r="B356" s="7"/>
      <c r="C356" s="8"/>
      <c r="D356" s="8"/>
      <c r="E356" s="9"/>
      <c r="F356" s="7"/>
      <c r="G356" s="10" t="n">
        <f aca="false">YEAR(Zeiterfassung[[#This Row],[Datum]])</f>
        <v>1899</v>
      </c>
      <c r="H356" s="10" t="n">
        <f aca="false">WEEKNUM(A356,2)</f>
        <v>53</v>
      </c>
      <c r="J356" s="0"/>
    </row>
    <row r="367" customFormat="false" ht="15.75" hidden="false" customHeight="false" outlineLevel="0" collapsed="false"/>
  </sheetData>
  <dataValidations count="3">
    <dataValidation allowBlank="true" operator="between" showDropDown="false" showErrorMessage="true" showInputMessage="true" sqref="D3:D356" type="list">
      <formula1>D_Verantwortlich</formula1>
      <formula2>0</formula2>
    </dataValidation>
    <dataValidation allowBlank="true" operator="greaterThan" showDropDown="false" showErrorMessage="true" showInputMessage="true" sqref="E3:E356" type="decimal">
      <formula1>0</formula1>
      <formula2>0</formula2>
    </dataValidation>
    <dataValidation allowBlank="true" operator="between" showDropDown="false" showErrorMessage="true" showInputMessage="true" sqref="C3:C356" type="list">
      <formula1>D_Phase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0" width="8.57085020242915"/>
    <col collapsed="false" hidden="false" max="6" min="6" style="0" width="14.1417004048583"/>
    <col collapsed="false" hidden="false" max="1025" min="7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300" hidden="false" customHeight="false" outlineLevel="0" collapsed="false">
      <c r="A2" s="12" t="n">
        <v>41992</v>
      </c>
      <c r="B2" s="13" t="s">
        <v>161</v>
      </c>
      <c r="C2" s="0" t="s">
        <v>162</v>
      </c>
      <c r="D2" s="0" t="s">
        <v>163</v>
      </c>
      <c r="E2" s="0" t="n">
        <v>45</v>
      </c>
      <c r="G2" s="0" t="n">
        <v>51</v>
      </c>
    </row>
    <row r="3" customFormat="false" ht="315" hidden="false" customHeight="false" outlineLevel="0" collapsed="false">
      <c r="A3" s="12" t="n">
        <v>41987</v>
      </c>
      <c r="B3" s="13" t="s">
        <v>164</v>
      </c>
      <c r="C3" s="0" t="s">
        <v>165</v>
      </c>
      <c r="D3" s="0" t="s">
        <v>163</v>
      </c>
      <c r="E3" s="0" t="n">
        <v>49</v>
      </c>
      <c r="G3" s="0" t="n">
        <v>50</v>
      </c>
    </row>
    <row r="4" customFormat="false" ht="15" hidden="false" customHeight="false" outlineLevel="0" collapsed="false">
      <c r="A4" s="12" t="n">
        <v>41980</v>
      </c>
      <c r="B4" s="0" t="s">
        <v>166</v>
      </c>
      <c r="C4" s="0" t="s">
        <v>165</v>
      </c>
      <c r="D4" s="0" t="s">
        <v>163</v>
      </c>
      <c r="E4" s="0" t="n">
        <v>25</v>
      </c>
      <c r="G4" s="0" t="n">
        <v>49</v>
      </c>
    </row>
    <row r="5" customFormat="false" ht="15" hidden="false" customHeight="false" outlineLevel="0" collapsed="false">
      <c r="A5" s="12" t="n">
        <v>41973</v>
      </c>
      <c r="B5" s="0" t="s">
        <v>167</v>
      </c>
      <c r="C5" s="0" t="s">
        <v>165</v>
      </c>
      <c r="D5" s="0" t="s">
        <v>163</v>
      </c>
      <c r="E5" s="0" t="n">
        <v>33</v>
      </c>
      <c r="G5" s="0" t="n">
        <v>48</v>
      </c>
    </row>
    <row r="6" customFormat="false" ht="15" hidden="false" customHeight="false" outlineLevel="0" collapsed="false">
      <c r="A6" s="12" t="n">
        <v>41897</v>
      </c>
      <c r="B6" s="0" t="s">
        <v>168</v>
      </c>
      <c r="C6" s="0" t="s">
        <v>169</v>
      </c>
      <c r="D6" s="0" t="s">
        <v>163</v>
      </c>
      <c r="E6" s="0" t="n">
        <v>15</v>
      </c>
      <c r="G6" s="0" t="n">
        <v>38</v>
      </c>
    </row>
    <row r="7" customFormat="false" ht="15" hidden="false" customHeight="false" outlineLevel="0" collapsed="false">
      <c r="A7" s="12" t="n">
        <v>41966</v>
      </c>
      <c r="B7" s="0" t="s">
        <v>170</v>
      </c>
      <c r="C7" s="0" t="s">
        <v>165</v>
      </c>
      <c r="D7" s="0" t="s">
        <v>163</v>
      </c>
      <c r="E7" s="0" t="n">
        <v>34</v>
      </c>
      <c r="G7" s="0" t="n">
        <v>47</v>
      </c>
    </row>
    <row r="8" customFormat="false" ht="15" hidden="false" customHeight="false" outlineLevel="0" collapsed="false">
      <c r="A8" s="12" t="n">
        <v>41958</v>
      </c>
      <c r="B8" s="0" t="s">
        <v>171</v>
      </c>
      <c r="C8" s="0" t="s">
        <v>165</v>
      </c>
      <c r="D8" s="0" t="s">
        <v>163</v>
      </c>
      <c r="E8" s="0" t="n">
        <v>27</v>
      </c>
      <c r="G8" s="0" t="n">
        <v>46</v>
      </c>
    </row>
    <row r="9" customFormat="false" ht="15" hidden="false" customHeight="false" outlineLevel="0" collapsed="false">
      <c r="A9" s="12" t="n">
        <v>41952</v>
      </c>
      <c r="B9" s="0" t="s">
        <v>172</v>
      </c>
      <c r="C9" s="0" t="s">
        <v>165</v>
      </c>
      <c r="D9" s="0" t="s">
        <v>163</v>
      </c>
      <c r="E9" s="0" t="n">
        <v>26.5</v>
      </c>
      <c r="G9" s="0" t="n">
        <v>45</v>
      </c>
    </row>
    <row r="10" customFormat="false" ht="15" hidden="false" customHeight="false" outlineLevel="0" collapsed="false">
      <c r="A10" s="12" t="n">
        <v>41945</v>
      </c>
      <c r="B10" s="0" t="s">
        <v>173</v>
      </c>
      <c r="C10" s="0" t="s">
        <v>165</v>
      </c>
      <c r="D10" s="0" t="s">
        <v>163</v>
      </c>
      <c r="E10" s="0" t="n">
        <v>18</v>
      </c>
      <c r="G10" s="0" t="n">
        <v>44</v>
      </c>
    </row>
    <row r="11" customFormat="false" ht="15" hidden="false" customHeight="false" outlineLevel="0" collapsed="false">
      <c r="A11" s="12" t="n">
        <v>41937</v>
      </c>
      <c r="B11" s="0" t="s">
        <v>174</v>
      </c>
      <c r="C11" s="0" t="s">
        <v>169</v>
      </c>
      <c r="D11" s="0" t="s">
        <v>163</v>
      </c>
      <c r="E11" s="0" t="n">
        <v>17</v>
      </c>
      <c r="G11" s="0" t="n">
        <v>43</v>
      </c>
    </row>
    <row r="12" customFormat="false" ht="15" hidden="false" customHeight="false" outlineLevel="0" collapsed="false">
      <c r="A12" s="12" t="n">
        <v>41930</v>
      </c>
      <c r="B12" s="0" t="s">
        <v>175</v>
      </c>
      <c r="C12" s="0" t="s">
        <v>169</v>
      </c>
      <c r="D12" s="0" t="s">
        <v>163</v>
      </c>
      <c r="E12" s="0" t="n">
        <v>14.5</v>
      </c>
      <c r="G12" s="0" t="n">
        <v>42</v>
      </c>
    </row>
    <row r="13" customFormat="false" ht="15" hidden="false" customHeight="false" outlineLevel="0" collapsed="false">
      <c r="A13" s="12" t="n">
        <v>41904</v>
      </c>
      <c r="B13" s="0" t="s">
        <v>176</v>
      </c>
      <c r="C13" s="0" t="s">
        <v>169</v>
      </c>
      <c r="D13" s="0" t="s">
        <v>163</v>
      </c>
      <c r="E13" s="0" t="n">
        <v>2.5</v>
      </c>
      <c r="F13" s="0" t="s">
        <v>177</v>
      </c>
      <c r="G13" s="0" t="n">
        <v>39</v>
      </c>
    </row>
    <row r="14" customFormat="false" ht="15" hidden="false" customHeight="false" outlineLevel="0" collapsed="false">
      <c r="A14" s="12" t="n">
        <v>41924</v>
      </c>
      <c r="B14" s="0" t="s">
        <v>178</v>
      </c>
      <c r="C14" s="0" t="s">
        <v>169</v>
      </c>
      <c r="D14" s="0" t="s">
        <v>163</v>
      </c>
      <c r="E14" s="0" t="n">
        <v>15.5</v>
      </c>
      <c r="G14" s="0" t="n">
        <v>41</v>
      </c>
    </row>
    <row r="15" customFormat="false" ht="15" hidden="false" customHeight="false" outlineLevel="0" collapsed="false">
      <c r="A15" s="12" t="n">
        <v>41917</v>
      </c>
      <c r="B15" s="0" t="s">
        <v>179</v>
      </c>
      <c r="C15" s="0" t="s">
        <v>169</v>
      </c>
      <c r="D15" s="0" t="s">
        <v>163</v>
      </c>
      <c r="E15" s="0" t="n">
        <v>6</v>
      </c>
      <c r="G15" s="0" t="n">
        <v>40</v>
      </c>
    </row>
    <row r="16" customFormat="false" ht="15" hidden="false" customHeight="false" outlineLevel="0" collapsed="false">
      <c r="A16" s="12" t="n">
        <v>41915</v>
      </c>
      <c r="B16" s="0" t="s">
        <v>180</v>
      </c>
      <c r="C16" s="0" t="s">
        <v>169</v>
      </c>
      <c r="D16" s="0" t="s">
        <v>163</v>
      </c>
      <c r="E16" s="0" t="n">
        <v>5</v>
      </c>
      <c r="G16" s="0" t="n">
        <v>40</v>
      </c>
    </row>
    <row r="17" customFormat="false" ht="15" hidden="false" customHeight="false" outlineLevel="0" collapsed="false">
      <c r="A17" s="12" t="n">
        <v>41914</v>
      </c>
      <c r="B17" s="0" t="s">
        <v>181</v>
      </c>
      <c r="C17" s="0" t="s">
        <v>169</v>
      </c>
      <c r="D17" s="0" t="s">
        <v>163</v>
      </c>
      <c r="E17" s="0" t="n">
        <v>3</v>
      </c>
      <c r="G17" s="0" t="n">
        <v>40</v>
      </c>
    </row>
    <row r="18" customFormat="false" ht="15" hidden="false" customHeight="false" outlineLevel="0" collapsed="false">
      <c r="A18" s="12" t="n">
        <v>41908</v>
      </c>
      <c r="B18" s="0" t="s">
        <v>182</v>
      </c>
      <c r="C18" s="0" t="s">
        <v>169</v>
      </c>
      <c r="D18" s="0" t="s">
        <v>163</v>
      </c>
      <c r="E18" s="0" t="n">
        <v>3</v>
      </c>
      <c r="G18" s="0" t="n">
        <v>39</v>
      </c>
    </row>
    <row r="19" customFormat="false" ht="15" hidden="false" customHeight="false" outlineLevel="0" collapsed="false">
      <c r="A19" s="12" t="n">
        <v>41913</v>
      </c>
      <c r="B19" s="0" t="s">
        <v>183</v>
      </c>
      <c r="C19" s="0" t="s">
        <v>165</v>
      </c>
      <c r="D19" s="0" t="s">
        <v>163</v>
      </c>
      <c r="E19" s="0" t="n">
        <v>5.5</v>
      </c>
      <c r="G19" s="0" t="n">
        <v>40</v>
      </c>
    </row>
    <row r="20" customFormat="false" ht="15" hidden="false" customHeight="false" outlineLevel="0" collapsed="false">
      <c r="A20" s="12" t="n">
        <v>41912</v>
      </c>
      <c r="B20" s="0" t="s">
        <v>184</v>
      </c>
      <c r="C20" s="0" t="s">
        <v>169</v>
      </c>
      <c r="D20" s="0" t="s">
        <v>163</v>
      </c>
      <c r="E20" s="0" t="n">
        <v>4.5</v>
      </c>
      <c r="G20" s="0" t="n">
        <v>40</v>
      </c>
    </row>
    <row r="21" customFormat="false" ht="15" hidden="false" customHeight="false" outlineLevel="0" collapsed="false">
      <c r="A21" s="12" t="n">
        <v>41910</v>
      </c>
      <c r="B21" s="0" t="s">
        <v>185</v>
      </c>
      <c r="C21" s="0" t="s">
        <v>169</v>
      </c>
      <c r="D21" s="0" t="s">
        <v>163</v>
      </c>
      <c r="E21" s="0" t="n">
        <v>2</v>
      </c>
      <c r="G21" s="0" t="n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2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11" width="8.57085020242915"/>
    <col collapsed="false" hidden="false" max="6" min="6" style="11" width="14.1417004048583"/>
    <col collapsed="false" hidden="false" max="7" min="7" style="11" width="8.57085020242915"/>
    <col collapsed="false" hidden="false" max="1025" min="8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15" hidden="false" customHeight="false" outlineLevel="0" collapsed="false">
      <c r="A2" s="12" t="n">
        <v>42142</v>
      </c>
      <c r="B2" s="0" t="s">
        <v>186</v>
      </c>
      <c r="C2" s="0" t="s">
        <v>12</v>
      </c>
      <c r="D2" s="0" t="s">
        <v>187</v>
      </c>
      <c r="E2" s="0" t="n">
        <v>8</v>
      </c>
      <c r="F2" s="0"/>
      <c r="G2" s="0" t="n">
        <v>21</v>
      </c>
    </row>
    <row r="3" customFormat="false" ht="15" hidden="false" customHeight="false" outlineLevel="0" collapsed="false">
      <c r="A3" s="12" t="n">
        <v>42139</v>
      </c>
      <c r="B3" s="0" t="s">
        <v>188</v>
      </c>
      <c r="C3" s="0" t="s">
        <v>189</v>
      </c>
      <c r="D3" s="0" t="s">
        <v>187</v>
      </c>
      <c r="E3" s="0" t="n">
        <v>6</v>
      </c>
      <c r="F3" s="0"/>
      <c r="G3" s="0" t="n">
        <v>20</v>
      </c>
    </row>
    <row r="4" customFormat="false" ht="15" hidden="false" customHeight="false" outlineLevel="0" collapsed="false">
      <c r="A4" s="12" t="n">
        <v>42137</v>
      </c>
      <c r="B4" s="0" t="s">
        <v>189</v>
      </c>
      <c r="C4" s="0" t="s">
        <v>189</v>
      </c>
      <c r="D4" s="0" t="s">
        <v>187</v>
      </c>
      <c r="E4" s="0" t="n">
        <v>2</v>
      </c>
      <c r="F4" s="0"/>
      <c r="G4" s="0" t="n">
        <v>20</v>
      </c>
    </row>
    <row r="5" customFormat="false" ht="15" hidden="false" customHeight="false" outlineLevel="0" collapsed="false">
      <c r="A5" s="12" t="n">
        <v>42136</v>
      </c>
      <c r="B5" s="0" t="s">
        <v>190</v>
      </c>
      <c r="C5" s="0" t="s">
        <v>162</v>
      </c>
      <c r="D5" s="0" t="s">
        <v>187</v>
      </c>
      <c r="E5" s="0" t="n">
        <v>6</v>
      </c>
      <c r="F5" s="0"/>
      <c r="G5" s="0" t="n">
        <v>20</v>
      </c>
    </row>
    <row r="6" customFormat="false" ht="15" hidden="false" customHeight="false" outlineLevel="0" collapsed="false">
      <c r="A6" s="12" t="n">
        <v>42135</v>
      </c>
      <c r="B6" s="0" t="s">
        <v>190</v>
      </c>
      <c r="C6" s="0" t="s">
        <v>162</v>
      </c>
      <c r="D6" s="0" t="s">
        <v>187</v>
      </c>
      <c r="E6" s="0" t="n">
        <v>2</v>
      </c>
      <c r="F6" s="0"/>
      <c r="G6" s="0" t="n">
        <v>20</v>
      </c>
    </row>
    <row r="7" customFormat="false" ht="15" hidden="false" customHeight="false" outlineLevel="0" collapsed="false">
      <c r="A7" s="12" t="n">
        <v>42135</v>
      </c>
      <c r="B7" s="0" t="s">
        <v>189</v>
      </c>
      <c r="C7" s="0" t="s">
        <v>189</v>
      </c>
      <c r="D7" s="0" t="s">
        <v>187</v>
      </c>
      <c r="E7" s="0" t="n">
        <v>3</v>
      </c>
      <c r="F7" s="0"/>
      <c r="G7" s="0" t="n">
        <v>20</v>
      </c>
    </row>
    <row r="8" customFormat="false" ht="15" hidden="false" customHeight="false" outlineLevel="0" collapsed="false">
      <c r="A8" s="12" t="n">
        <v>42132</v>
      </c>
      <c r="B8" s="0" t="s">
        <v>191</v>
      </c>
      <c r="C8" s="0" t="s">
        <v>189</v>
      </c>
      <c r="D8" s="0" t="s">
        <v>187</v>
      </c>
      <c r="E8" s="0" t="n">
        <v>8</v>
      </c>
      <c r="F8" s="0"/>
      <c r="G8" s="0" t="n">
        <v>19</v>
      </c>
    </row>
    <row r="9" customFormat="false" ht="15" hidden="false" customHeight="false" outlineLevel="0" collapsed="false">
      <c r="A9" s="12" t="n">
        <v>42131</v>
      </c>
      <c r="B9" s="0" t="s">
        <v>189</v>
      </c>
      <c r="C9" s="0" t="s">
        <v>189</v>
      </c>
      <c r="D9" s="0" t="s">
        <v>187</v>
      </c>
      <c r="E9" s="0" t="n">
        <v>5.5</v>
      </c>
      <c r="F9" s="0"/>
      <c r="G9" s="0" t="n">
        <v>19</v>
      </c>
    </row>
    <row r="10" customFormat="false" ht="15" hidden="false" customHeight="false" outlineLevel="0" collapsed="false">
      <c r="A10" s="12" t="n">
        <v>42130</v>
      </c>
      <c r="B10" s="0" t="s">
        <v>189</v>
      </c>
      <c r="C10" s="0" t="s">
        <v>189</v>
      </c>
      <c r="D10" s="0" t="s">
        <v>187</v>
      </c>
      <c r="E10" s="0" t="n">
        <v>9</v>
      </c>
      <c r="F10" s="0"/>
      <c r="G10" s="0" t="n">
        <v>19</v>
      </c>
    </row>
    <row r="11" customFormat="false" ht="15" hidden="false" customHeight="false" outlineLevel="0" collapsed="false">
      <c r="A11" s="12" t="n">
        <v>42129</v>
      </c>
      <c r="B11" s="0" t="s">
        <v>192</v>
      </c>
      <c r="C11" s="0" t="s">
        <v>12</v>
      </c>
      <c r="D11" s="0" t="s">
        <v>187</v>
      </c>
      <c r="E11" s="0" t="n">
        <v>1</v>
      </c>
      <c r="F11" s="0"/>
      <c r="G11" s="0" t="n">
        <v>19</v>
      </c>
    </row>
    <row r="12" customFormat="false" ht="15" hidden="false" customHeight="false" outlineLevel="0" collapsed="false">
      <c r="A12" s="12" t="n">
        <v>42129</v>
      </c>
      <c r="B12" s="0" t="s">
        <v>190</v>
      </c>
      <c r="C12" s="0" t="s">
        <v>162</v>
      </c>
      <c r="D12" s="0" t="s">
        <v>187</v>
      </c>
      <c r="E12" s="0" t="n">
        <v>7</v>
      </c>
      <c r="F12" s="0"/>
      <c r="G12" s="0" t="n">
        <v>19</v>
      </c>
    </row>
    <row r="13" customFormat="false" ht="15" hidden="false" customHeight="false" outlineLevel="0" collapsed="false">
      <c r="A13" s="12" t="n">
        <v>42128</v>
      </c>
      <c r="B13" s="0" t="s">
        <v>190</v>
      </c>
      <c r="C13" s="0" t="s">
        <v>162</v>
      </c>
      <c r="D13" s="0" t="s">
        <v>187</v>
      </c>
      <c r="E13" s="0" t="n">
        <v>5.5</v>
      </c>
      <c r="F13" s="0"/>
      <c r="G13" s="0" t="n">
        <v>19</v>
      </c>
    </row>
    <row r="14" customFormat="false" ht="15" hidden="false" customHeight="false" outlineLevel="0" collapsed="false">
      <c r="A14" s="12" t="n">
        <v>42127</v>
      </c>
      <c r="B14" s="0" t="s">
        <v>193</v>
      </c>
      <c r="C14" s="0" t="s">
        <v>162</v>
      </c>
      <c r="D14" s="0" t="s">
        <v>187</v>
      </c>
      <c r="E14" s="0" t="n">
        <v>2</v>
      </c>
      <c r="F14" s="0"/>
      <c r="G14" s="0" t="n">
        <v>18</v>
      </c>
    </row>
    <row r="15" customFormat="false" ht="15" hidden="false" customHeight="false" outlineLevel="0" collapsed="false">
      <c r="A15" s="12" t="n">
        <v>42124</v>
      </c>
      <c r="B15" s="0" t="s">
        <v>194</v>
      </c>
      <c r="C15" s="0" t="s">
        <v>12</v>
      </c>
      <c r="D15" s="0" t="s">
        <v>187</v>
      </c>
      <c r="E15" s="0" t="n">
        <v>1</v>
      </c>
      <c r="F15" s="0"/>
      <c r="G15" s="0" t="n">
        <v>18</v>
      </c>
    </row>
    <row r="16" customFormat="false" ht="15" hidden="false" customHeight="false" outlineLevel="0" collapsed="false">
      <c r="A16" s="12" t="n">
        <v>42124</v>
      </c>
      <c r="B16" s="0" t="s">
        <v>190</v>
      </c>
      <c r="C16" s="0" t="s">
        <v>162</v>
      </c>
      <c r="D16" s="0" t="s">
        <v>187</v>
      </c>
      <c r="E16" s="0" t="n">
        <v>6</v>
      </c>
      <c r="F16" s="0"/>
      <c r="G16" s="0" t="n">
        <v>18</v>
      </c>
    </row>
    <row r="17" customFormat="false" ht="15" hidden="false" customHeight="false" outlineLevel="0" collapsed="false">
      <c r="A17" s="12" t="n">
        <v>42124</v>
      </c>
      <c r="B17" s="0" t="s">
        <v>195</v>
      </c>
      <c r="C17" s="0" t="s">
        <v>12</v>
      </c>
      <c r="D17" s="0" t="s">
        <v>187</v>
      </c>
      <c r="E17" s="0" t="n">
        <v>2</v>
      </c>
      <c r="F17" s="0"/>
      <c r="G17" s="0" t="n">
        <v>18</v>
      </c>
    </row>
    <row r="18" customFormat="false" ht="15" hidden="false" customHeight="false" outlineLevel="0" collapsed="false">
      <c r="A18" s="12" t="n">
        <v>42123</v>
      </c>
      <c r="B18" s="0" t="s">
        <v>189</v>
      </c>
      <c r="C18" s="0" t="s">
        <v>189</v>
      </c>
      <c r="D18" s="0" t="s">
        <v>187</v>
      </c>
      <c r="E18" s="0" t="n">
        <v>2.5</v>
      </c>
      <c r="F18" s="0"/>
      <c r="G18" s="0" t="n">
        <v>18</v>
      </c>
    </row>
    <row r="19" customFormat="false" ht="15" hidden="false" customHeight="false" outlineLevel="0" collapsed="false">
      <c r="A19" s="12" t="n">
        <v>42122</v>
      </c>
      <c r="B19" s="0" t="s">
        <v>189</v>
      </c>
      <c r="C19" s="0" t="s">
        <v>189</v>
      </c>
      <c r="D19" s="0" t="s">
        <v>187</v>
      </c>
      <c r="E19" s="0" t="n">
        <v>2.5</v>
      </c>
      <c r="F19" s="0"/>
      <c r="G19" s="0" t="n">
        <v>18</v>
      </c>
    </row>
    <row r="20" customFormat="false" ht="15" hidden="false" customHeight="false" outlineLevel="0" collapsed="false">
      <c r="A20" s="12" t="n">
        <v>42122</v>
      </c>
      <c r="B20" s="0" t="s">
        <v>196</v>
      </c>
      <c r="C20" s="0" t="s">
        <v>197</v>
      </c>
      <c r="D20" s="0" t="s">
        <v>187</v>
      </c>
      <c r="E20" s="0" t="n">
        <v>4</v>
      </c>
      <c r="F20" s="0"/>
      <c r="G20" s="0" t="n">
        <v>18</v>
      </c>
    </row>
    <row r="21" customFormat="false" ht="15" hidden="false" customHeight="false" outlineLevel="0" collapsed="false">
      <c r="A21" s="12" t="n">
        <v>42121</v>
      </c>
      <c r="B21" s="0" t="s">
        <v>198</v>
      </c>
      <c r="C21" s="0" t="s">
        <v>12</v>
      </c>
      <c r="D21" s="0" t="s">
        <v>187</v>
      </c>
      <c r="E21" s="0" t="n">
        <v>1</v>
      </c>
      <c r="F21" s="0"/>
      <c r="G21" s="0" t="n">
        <v>18</v>
      </c>
    </row>
    <row r="22" customFormat="false" ht="15" hidden="false" customHeight="false" outlineLevel="0" collapsed="false">
      <c r="A22" s="12" t="n">
        <v>42121</v>
      </c>
      <c r="B22" s="0" t="s">
        <v>199</v>
      </c>
      <c r="C22" s="0" t="s">
        <v>12</v>
      </c>
      <c r="D22" s="0" t="s">
        <v>187</v>
      </c>
      <c r="E22" s="0" t="n">
        <v>5</v>
      </c>
      <c r="F22" s="0"/>
      <c r="G22" s="0" t="n">
        <v>18</v>
      </c>
    </row>
    <row r="23" customFormat="false" ht="15" hidden="false" customHeight="false" outlineLevel="0" collapsed="false">
      <c r="A23" s="12" t="n">
        <v>42118</v>
      </c>
      <c r="B23" s="0" t="s">
        <v>200</v>
      </c>
      <c r="C23" s="0" t="s">
        <v>12</v>
      </c>
      <c r="D23" s="0" t="s">
        <v>187</v>
      </c>
      <c r="E23" s="0" t="n">
        <v>12</v>
      </c>
      <c r="F23" s="0"/>
      <c r="G23" s="0" t="n">
        <v>17</v>
      </c>
    </row>
    <row r="24" customFormat="false" ht="15" hidden="false" customHeight="false" outlineLevel="0" collapsed="false">
      <c r="A24" s="12" t="n">
        <v>42118</v>
      </c>
      <c r="B24" s="0" t="s">
        <v>201</v>
      </c>
      <c r="C24" s="0" t="s">
        <v>12</v>
      </c>
      <c r="D24" s="0" t="s">
        <v>187</v>
      </c>
      <c r="E24" s="0" t="n">
        <v>2</v>
      </c>
      <c r="F24" s="0"/>
      <c r="G24" s="0" t="n">
        <v>17</v>
      </c>
    </row>
    <row r="25" customFormat="false" ht="15" hidden="false" customHeight="false" outlineLevel="0" collapsed="false">
      <c r="A25" s="12" t="n">
        <v>42117</v>
      </c>
      <c r="B25" s="0" t="s">
        <v>201</v>
      </c>
      <c r="C25" s="0" t="s">
        <v>12</v>
      </c>
      <c r="D25" s="0" t="s">
        <v>187</v>
      </c>
      <c r="E25" s="0" t="n">
        <v>8</v>
      </c>
      <c r="F25" s="0"/>
      <c r="G25" s="0" t="n">
        <v>17</v>
      </c>
    </row>
    <row r="26" customFormat="false" ht="15" hidden="false" customHeight="false" outlineLevel="0" collapsed="false">
      <c r="A26" s="12" t="n">
        <v>42116</v>
      </c>
      <c r="B26" s="0" t="s">
        <v>202</v>
      </c>
      <c r="C26" s="0" t="s">
        <v>12</v>
      </c>
      <c r="D26" s="0" t="s">
        <v>187</v>
      </c>
      <c r="E26" s="0" t="n">
        <v>2</v>
      </c>
      <c r="F26" s="0"/>
      <c r="G26" s="0" t="n">
        <v>17</v>
      </c>
    </row>
    <row r="27" customFormat="false" ht="15" hidden="false" customHeight="false" outlineLevel="0" collapsed="false">
      <c r="A27" s="12" t="n">
        <v>42116</v>
      </c>
      <c r="B27" s="0" t="s">
        <v>203</v>
      </c>
      <c r="C27" s="0" t="s">
        <v>12</v>
      </c>
      <c r="D27" s="0" t="s">
        <v>187</v>
      </c>
      <c r="E27" s="0" t="n">
        <v>1</v>
      </c>
      <c r="F27" s="0"/>
      <c r="G27" s="0" t="n">
        <v>17</v>
      </c>
    </row>
    <row r="28" customFormat="false" ht="15" hidden="false" customHeight="false" outlineLevel="0" collapsed="false">
      <c r="A28" s="12" t="n">
        <v>42116</v>
      </c>
      <c r="B28" s="0" t="s">
        <v>204</v>
      </c>
      <c r="C28" s="0" t="s">
        <v>197</v>
      </c>
      <c r="D28" s="0" t="s">
        <v>187</v>
      </c>
      <c r="E28" s="0" t="n">
        <v>2</v>
      </c>
      <c r="F28" s="0"/>
      <c r="G28" s="0" t="n">
        <v>17</v>
      </c>
    </row>
    <row r="29" customFormat="false" ht="15" hidden="false" customHeight="false" outlineLevel="0" collapsed="false">
      <c r="A29" s="12" t="n">
        <v>42115</v>
      </c>
      <c r="B29" s="0" t="s">
        <v>205</v>
      </c>
      <c r="C29" s="0" t="s">
        <v>12</v>
      </c>
      <c r="D29" s="0" t="s">
        <v>187</v>
      </c>
      <c r="E29" s="0" t="n">
        <v>1</v>
      </c>
      <c r="F29" s="0"/>
      <c r="G29" s="0" t="n">
        <v>17</v>
      </c>
    </row>
    <row r="30" customFormat="false" ht="15" hidden="false" customHeight="false" outlineLevel="0" collapsed="false">
      <c r="A30" s="12" t="n">
        <v>42115</v>
      </c>
      <c r="B30" s="0" t="s">
        <v>206</v>
      </c>
      <c r="C30" s="0" t="s">
        <v>12</v>
      </c>
      <c r="D30" s="0" t="s">
        <v>187</v>
      </c>
      <c r="E30" s="0" t="n">
        <v>2</v>
      </c>
      <c r="F30" s="0"/>
      <c r="G30" s="0" t="n">
        <v>17</v>
      </c>
    </row>
    <row r="31" customFormat="false" ht="15" hidden="false" customHeight="false" outlineLevel="0" collapsed="false">
      <c r="A31" s="12" t="n">
        <v>42115</v>
      </c>
      <c r="B31" s="0" t="s">
        <v>207</v>
      </c>
      <c r="C31" s="0" t="s">
        <v>12</v>
      </c>
      <c r="D31" s="0" t="s">
        <v>187</v>
      </c>
      <c r="E31" s="0" t="n">
        <v>6</v>
      </c>
      <c r="F31" s="0"/>
      <c r="G31" s="0" t="n">
        <v>17</v>
      </c>
    </row>
    <row r="32" customFormat="false" ht="15" hidden="false" customHeight="false" outlineLevel="0" collapsed="false">
      <c r="A32" s="12" t="n">
        <v>42114</v>
      </c>
      <c r="B32" s="0" t="s">
        <v>208</v>
      </c>
      <c r="C32" s="0" t="s">
        <v>12</v>
      </c>
      <c r="D32" s="0" t="s">
        <v>187</v>
      </c>
      <c r="E32" s="0" t="n">
        <v>1</v>
      </c>
      <c r="F32" s="0"/>
      <c r="G32" s="0" t="n">
        <v>17</v>
      </c>
    </row>
    <row r="33" customFormat="false" ht="15" hidden="false" customHeight="false" outlineLevel="0" collapsed="false">
      <c r="A33" s="12" t="n">
        <v>42114</v>
      </c>
      <c r="B33" s="0" t="s">
        <v>209</v>
      </c>
      <c r="C33" s="0" t="s">
        <v>197</v>
      </c>
      <c r="D33" s="0" t="s">
        <v>187</v>
      </c>
      <c r="E33" s="0" t="n">
        <v>2</v>
      </c>
      <c r="F33" s="0"/>
      <c r="G33" s="0" t="n">
        <v>17</v>
      </c>
    </row>
    <row r="34" customFormat="false" ht="15" hidden="false" customHeight="false" outlineLevel="0" collapsed="false">
      <c r="A34" s="12" t="n">
        <v>42111</v>
      </c>
      <c r="B34" s="0" t="s">
        <v>210</v>
      </c>
      <c r="C34" s="0" t="s">
        <v>197</v>
      </c>
      <c r="D34" s="0" t="s">
        <v>187</v>
      </c>
      <c r="E34" s="0" t="n">
        <v>5.5</v>
      </c>
      <c r="F34" s="0"/>
      <c r="G34" s="0" t="n">
        <v>16</v>
      </c>
    </row>
    <row r="35" customFormat="false" ht="15" hidden="false" customHeight="false" outlineLevel="0" collapsed="false">
      <c r="A35" s="12" t="n">
        <v>41911</v>
      </c>
      <c r="B35" s="0" t="s">
        <v>211</v>
      </c>
      <c r="C35" s="0" t="s">
        <v>169</v>
      </c>
      <c r="D35" s="0" t="s">
        <v>187</v>
      </c>
      <c r="E35" s="0" t="n">
        <v>6</v>
      </c>
      <c r="F35" s="0"/>
      <c r="G35" s="0" t="n">
        <v>40</v>
      </c>
    </row>
    <row r="36" customFormat="false" ht="15" hidden="false" customHeight="false" outlineLevel="0" collapsed="false">
      <c r="A36" s="12" t="n">
        <v>41911</v>
      </c>
      <c r="B36" s="0" t="s">
        <v>212</v>
      </c>
      <c r="C36" s="0" t="s">
        <v>169</v>
      </c>
      <c r="D36" s="0" t="s">
        <v>187</v>
      </c>
      <c r="E36" s="0" t="n">
        <v>1</v>
      </c>
      <c r="F36" s="0"/>
      <c r="G36" s="0" t="n">
        <v>40</v>
      </c>
    </row>
    <row r="37" customFormat="false" ht="15" hidden="false" customHeight="false" outlineLevel="0" collapsed="false">
      <c r="A37" s="12" t="n">
        <v>42111</v>
      </c>
      <c r="B37" s="0" t="s">
        <v>213</v>
      </c>
      <c r="C37" s="0" t="s">
        <v>197</v>
      </c>
      <c r="D37" s="0" t="s">
        <v>187</v>
      </c>
      <c r="E37" s="0" t="n">
        <v>2</v>
      </c>
      <c r="F37" s="0"/>
      <c r="G37" s="0" t="n">
        <v>16</v>
      </c>
    </row>
    <row r="38" customFormat="false" ht="15" hidden="false" customHeight="false" outlineLevel="0" collapsed="false">
      <c r="A38" s="12" t="n">
        <v>42110</v>
      </c>
      <c r="B38" s="0" t="s">
        <v>214</v>
      </c>
      <c r="C38" s="0" t="s">
        <v>197</v>
      </c>
      <c r="D38" s="0" t="s">
        <v>187</v>
      </c>
      <c r="E38" s="0" t="n">
        <v>2</v>
      </c>
      <c r="F38" s="0"/>
      <c r="G38" s="0" t="n">
        <v>16</v>
      </c>
    </row>
    <row r="39" customFormat="false" ht="15" hidden="false" customHeight="false" outlineLevel="0" collapsed="false">
      <c r="A39" s="12" t="n">
        <v>42110</v>
      </c>
      <c r="B39" s="0" t="s">
        <v>215</v>
      </c>
      <c r="C39" s="0" t="s">
        <v>197</v>
      </c>
      <c r="D39" s="0" t="s">
        <v>187</v>
      </c>
      <c r="E39" s="0" t="n">
        <v>2</v>
      </c>
      <c r="F39" s="0"/>
      <c r="G39" s="0" t="n">
        <v>16</v>
      </c>
    </row>
    <row r="40" customFormat="false" ht="15" hidden="false" customHeight="false" outlineLevel="0" collapsed="false">
      <c r="A40" s="12" t="n">
        <v>42109</v>
      </c>
      <c r="B40" s="0" t="s">
        <v>197</v>
      </c>
      <c r="C40" s="0" t="s">
        <v>197</v>
      </c>
      <c r="D40" s="0" t="s">
        <v>187</v>
      </c>
      <c r="E40" s="0" t="n">
        <v>2</v>
      </c>
      <c r="F40" s="0"/>
      <c r="G40" s="0" t="n">
        <v>16</v>
      </c>
    </row>
    <row r="41" customFormat="false" ht="15" hidden="false" customHeight="false" outlineLevel="0" collapsed="false">
      <c r="A41" s="12" t="n">
        <v>42108</v>
      </c>
      <c r="B41" s="0" t="s">
        <v>216</v>
      </c>
      <c r="C41" s="0" t="s">
        <v>12</v>
      </c>
      <c r="D41" s="0" t="s">
        <v>187</v>
      </c>
      <c r="E41" s="0" t="n">
        <v>1.5</v>
      </c>
      <c r="F41" s="0"/>
      <c r="G41" s="0" t="n">
        <v>16</v>
      </c>
    </row>
    <row r="42" customFormat="false" ht="15" hidden="false" customHeight="false" outlineLevel="0" collapsed="false">
      <c r="A42" s="12" t="n">
        <v>41912</v>
      </c>
      <c r="B42" s="0" t="s">
        <v>217</v>
      </c>
      <c r="C42" s="0" t="s">
        <v>169</v>
      </c>
      <c r="D42" s="0" t="s">
        <v>187</v>
      </c>
      <c r="E42" s="0" t="n">
        <v>1.5</v>
      </c>
      <c r="F42" s="0"/>
      <c r="G42" s="0" t="n">
        <v>40</v>
      </c>
    </row>
    <row r="43" customFormat="false" ht="15" hidden="false" customHeight="false" outlineLevel="0" collapsed="false">
      <c r="A43" s="12" t="n">
        <v>42108</v>
      </c>
      <c r="B43" s="0" t="s">
        <v>218</v>
      </c>
      <c r="C43" s="0" t="s">
        <v>12</v>
      </c>
      <c r="D43" s="0" t="s">
        <v>187</v>
      </c>
      <c r="E43" s="0" t="n">
        <v>6.5</v>
      </c>
      <c r="F43" s="0"/>
      <c r="G43" s="0" t="n">
        <v>16</v>
      </c>
    </row>
    <row r="44" customFormat="false" ht="15" hidden="false" customHeight="false" outlineLevel="0" collapsed="false">
      <c r="A44" s="12" t="n">
        <v>42107</v>
      </c>
      <c r="B44" s="0" t="s">
        <v>219</v>
      </c>
      <c r="C44" s="0" t="s">
        <v>12</v>
      </c>
      <c r="D44" s="0" t="s">
        <v>187</v>
      </c>
      <c r="E44" s="0" t="n">
        <v>2</v>
      </c>
      <c r="F44" s="0"/>
      <c r="G44" s="0" t="n">
        <v>16</v>
      </c>
    </row>
    <row r="45" customFormat="false" ht="15" hidden="false" customHeight="false" outlineLevel="0" collapsed="false">
      <c r="A45" s="12" t="n">
        <v>42104</v>
      </c>
      <c r="B45" s="0" t="s">
        <v>220</v>
      </c>
      <c r="C45" s="0" t="s">
        <v>197</v>
      </c>
      <c r="D45" s="0" t="s">
        <v>187</v>
      </c>
      <c r="E45" s="0" t="n">
        <v>5</v>
      </c>
      <c r="F45" s="0"/>
      <c r="G45" s="0" t="n">
        <v>15</v>
      </c>
    </row>
    <row r="46" customFormat="false" ht="15" hidden="false" customHeight="false" outlineLevel="0" collapsed="false">
      <c r="A46" s="12" t="n">
        <v>42103</v>
      </c>
      <c r="B46" s="0" t="s">
        <v>221</v>
      </c>
      <c r="C46" s="0" t="s">
        <v>189</v>
      </c>
      <c r="D46" s="0" t="s">
        <v>187</v>
      </c>
      <c r="E46" s="0" t="n">
        <v>2</v>
      </c>
      <c r="F46" s="0"/>
      <c r="G46" s="0" t="n">
        <v>15</v>
      </c>
    </row>
    <row r="47" customFormat="false" ht="15" hidden="false" customHeight="false" outlineLevel="0" collapsed="false">
      <c r="A47" s="12" t="n">
        <v>42103</v>
      </c>
      <c r="B47" s="0" t="s">
        <v>222</v>
      </c>
      <c r="C47" s="0" t="s">
        <v>197</v>
      </c>
      <c r="D47" s="0" t="s">
        <v>187</v>
      </c>
      <c r="E47" s="0" t="n">
        <v>4</v>
      </c>
      <c r="F47" s="0"/>
      <c r="G47" s="0" t="n">
        <v>15</v>
      </c>
    </row>
    <row r="48" customFormat="false" ht="15" hidden="false" customHeight="false" outlineLevel="0" collapsed="false">
      <c r="A48" s="12" t="n">
        <v>42102</v>
      </c>
      <c r="B48" s="0" t="s">
        <v>186</v>
      </c>
      <c r="C48" s="0" t="s">
        <v>12</v>
      </c>
      <c r="D48" s="0" t="s">
        <v>187</v>
      </c>
      <c r="E48" s="0" t="n">
        <v>1</v>
      </c>
      <c r="F48" s="0"/>
      <c r="G48" s="0" t="n">
        <v>15</v>
      </c>
    </row>
    <row r="49" customFormat="false" ht="15" hidden="false" customHeight="false" outlineLevel="0" collapsed="false">
      <c r="A49" s="12" t="n">
        <v>42101</v>
      </c>
      <c r="B49" s="0" t="s">
        <v>197</v>
      </c>
      <c r="C49" s="0" t="s">
        <v>197</v>
      </c>
      <c r="D49" s="0" t="s">
        <v>187</v>
      </c>
      <c r="E49" s="0" t="n">
        <v>3</v>
      </c>
      <c r="F49" s="0"/>
      <c r="G49" s="0" t="n">
        <v>15</v>
      </c>
    </row>
    <row r="50" customFormat="false" ht="15" hidden="false" customHeight="false" outlineLevel="0" collapsed="false">
      <c r="A50" s="12" t="n">
        <v>42101</v>
      </c>
      <c r="B50" s="0" t="s">
        <v>223</v>
      </c>
      <c r="C50" s="0" t="s">
        <v>12</v>
      </c>
      <c r="D50" s="0" t="s">
        <v>187</v>
      </c>
      <c r="E50" s="0" t="n">
        <v>4</v>
      </c>
      <c r="F50" s="0"/>
      <c r="G50" s="0" t="n">
        <v>15</v>
      </c>
    </row>
    <row r="51" customFormat="false" ht="15" hidden="false" customHeight="false" outlineLevel="0" collapsed="false">
      <c r="A51" s="12" t="n">
        <v>42100</v>
      </c>
      <c r="B51" s="0" t="s">
        <v>190</v>
      </c>
      <c r="C51" s="0" t="s">
        <v>162</v>
      </c>
      <c r="D51" s="0" t="s">
        <v>187</v>
      </c>
      <c r="E51" s="0" t="n">
        <v>2</v>
      </c>
      <c r="F51" s="0"/>
      <c r="G51" s="0" t="n">
        <v>15</v>
      </c>
    </row>
    <row r="52" customFormat="false" ht="15" hidden="false" customHeight="false" outlineLevel="0" collapsed="false">
      <c r="A52" s="12" t="n">
        <v>42096</v>
      </c>
      <c r="B52" s="0" t="s">
        <v>224</v>
      </c>
      <c r="C52" s="0" t="s">
        <v>197</v>
      </c>
      <c r="D52" s="0" t="s">
        <v>187</v>
      </c>
      <c r="E52" s="0" t="n">
        <v>6</v>
      </c>
      <c r="F52" s="0"/>
      <c r="G52" s="0" t="n">
        <v>14</v>
      </c>
    </row>
    <row r="53" customFormat="false" ht="15" hidden="false" customHeight="false" outlineLevel="0" collapsed="false">
      <c r="A53" s="12" t="n">
        <v>42095</v>
      </c>
      <c r="B53" s="0" t="s">
        <v>224</v>
      </c>
      <c r="C53" s="0" t="s">
        <v>197</v>
      </c>
      <c r="D53" s="0" t="s">
        <v>187</v>
      </c>
      <c r="E53" s="0" t="n">
        <v>2</v>
      </c>
      <c r="F53" s="0"/>
      <c r="G53" s="0" t="n">
        <v>14</v>
      </c>
    </row>
    <row r="54" customFormat="false" ht="15" hidden="false" customHeight="false" outlineLevel="0" collapsed="false">
      <c r="A54" s="12" t="n">
        <v>42094</v>
      </c>
      <c r="B54" s="0" t="s">
        <v>197</v>
      </c>
      <c r="C54" s="0" t="s">
        <v>197</v>
      </c>
      <c r="D54" s="0" t="s">
        <v>187</v>
      </c>
      <c r="E54" s="0" t="n">
        <v>7.5</v>
      </c>
      <c r="F54" s="0"/>
      <c r="G54" s="0" t="n">
        <v>14</v>
      </c>
    </row>
    <row r="55" customFormat="false" ht="15" hidden="false" customHeight="false" outlineLevel="0" collapsed="false">
      <c r="A55" s="12" t="n">
        <v>42093</v>
      </c>
      <c r="B55" s="0" t="s">
        <v>225</v>
      </c>
      <c r="C55" s="0" t="s">
        <v>162</v>
      </c>
      <c r="D55" s="0" t="s">
        <v>187</v>
      </c>
      <c r="E55" s="0" t="n">
        <v>3.5</v>
      </c>
      <c r="F55" s="0"/>
      <c r="G55" s="0" t="n">
        <v>14</v>
      </c>
    </row>
    <row r="56" customFormat="false" ht="15" hidden="false" customHeight="false" outlineLevel="0" collapsed="false">
      <c r="A56" s="12" t="n">
        <v>42090</v>
      </c>
      <c r="B56" s="0" t="s">
        <v>202</v>
      </c>
      <c r="C56" s="0" t="s">
        <v>12</v>
      </c>
      <c r="D56" s="0" t="s">
        <v>187</v>
      </c>
      <c r="E56" s="0" t="n">
        <v>1</v>
      </c>
      <c r="F56" s="0"/>
      <c r="G56" s="0" t="n">
        <v>13</v>
      </c>
    </row>
    <row r="57" customFormat="false" ht="15" hidden="false" customHeight="false" outlineLevel="0" collapsed="false">
      <c r="A57" s="12" t="n">
        <v>42090</v>
      </c>
      <c r="B57" s="0" t="s">
        <v>226</v>
      </c>
      <c r="C57" s="0" t="s">
        <v>162</v>
      </c>
      <c r="D57" s="0" t="s">
        <v>187</v>
      </c>
      <c r="E57" s="0" t="n">
        <v>7</v>
      </c>
      <c r="F57" s="0"/>
      <c r="G57" s="0" t="n">
        <v>13</v>
      </c>
    </row>
    <row r="58" customFormat="false" ht="15" hidden="false" customHeight="false" outlineLevel="0" collapsed="false">
      <c r="A58" s="12" t="n">
        <v>42089</v>
      </c>
      <c r="B58" s="0" t="s">
        <v>227</v>
      </c>
      <c r="C58" s="0" t="s">
        <v>162</v>
      </c>
      <c r="D58" s="0" t="s">
        <v>187</v>
      </c>
      <c r="E58" s="0" t="n">
        <v>1.5</v>
      </c>
      <c r="F58" s="0"/>
      <c r="G58" s="0" t="n">
        <v>13</v>
      </c>
    </row>
    <row r="59" customFormat="false" ht="15" hidden="false" customHeight="false" outlineLevel="0" collapsed="false">
      <c r="A59" s="12" t="n">
        <v>42089</v>
      </c>
      <c r="B59" s="0" t="s">
        <v>226</v>
      </c>
      <c r="C59" s="0" t="s">
        <v>162</v>
      </c>
      <c r="D59" s="0" t="s">
        <v>187</v>
      </c>
      <c r="E59" s="0" t="n">
        <v>2</v>
      </c>
      <c r="F59" s="0"/>
      <c r="G59" s="0" t="n">
        <v>13</v>
      </c>
    </row>
    <row r="60" customFormat="false" ht="15" hidden="false" customHeight="false" outlineLevel="0" collapsed="false">
      <c r="A60" s="12" t="n">
        <v>42089</v>
      </c>
      <c r="B60" s="0" t="s">
        <v>228</v>
      </c>
      <c r="C60" s="0" t="s">
        <v>189</v>
      </c>
      <c r="D60" s="0" t="s">
        <v>187</v>
      </c>
      <c r="E60" s="0" t="n">
        <v>4</v>
      </c>
      <c r="F60" s="0"/>
      <c r="G60" s="0" t="n">
        <v>13</v>
      </c>
    </row>
    <row r="61" customFormat="false" ht="15" hidden="false" customHeight="false" outlineLevel="0" collapsed="false">
      <c r="A61" s="12" t="n">
        <v>42088</v>
      </c>
      <c r="B61" s="0" t="s">
        <v>229</v>
      </c>
      <c r="C61" s="0" t="s">
        <v>197</v>
      </c>
      <c r="D61" s="0" t="s">
        <v>187</v>
      </c>
      <c r="E61" s="0" t="n">
        <v>1</v>
      </c>
      <c r="F61" s="0"/>
      <c r="G61" s="0" t="n">
        <v>13</v>
      </c>
    </row>
    <row r="62" customFormat="false" ht="15" hidden="false" customHeight="false" outlineLevel="0" collapsed="false">
      <c r="A62" s="12" t="n">
        <v>42087</v>
      </c>
      <c r="B62" s="0" t="s">
        <v>230</v>
      </c>
      <c r="C62" s="0" t="s">
        <v>12</v>
      </c>
      <c r="D62" s="0" t="s">
        <v>187</v>
      </c>
      <c r="E62" s="0" t="n">
        <v>1</v>
      </c>
      <c r="F62" s="0"/>
      <c r="G62" s="0" t="n">
        <v>13</v>
      </c>
    </row>
    <row r="63" customFormat="false" ht="15" hidden="false" customHeight="false" outlineLevel="0" collapsed="false">
      <c r="A63" s="12" t="n">
        <v>42087</v>
      </c>
      <c r="B63" s="0" t="s">
        <v>231</v>
      </c>
      <c r="C63" s="0" t="s">
        <v>197</v>
      </c>
      <c r="D63" s="0" t="s">
        <v>187</v>
      </c>
      <c r="E63" s="0" t="n">
        <v>7.5</v>
      </c>
      <c r="F63" s="0"/>
      <c r="G63" s="0" t="n">
        <v>13</v>
      </c>
    </row>
    <row r="64" customFormat="false" ht="15" hidden="false" customHeight="false" outlineLevel="0" collapsed="false">
      <c r="A64" s="12" t="n">
        <v>42086</v>
      </c>
      <c r="B64" s="0" t="s">
        <v>231</v>
      </c>
      <c r="C64" s="0" t="s">
        <v>197</v>
      </c>
      <c r="D64" s="0" t="s">
        <v>187</v>
      </c>
      <c r="E64" s="0" t="n">
        <v>2</v>
      </c>
      <c r="F64" s="0"/>
      <c r="G64" s="0" t="n">
        <v>13</v>
      </c>
    </row>
    <row r="65" customFormat="false" ht="15" hidden="false" customHeight="false" outlineLevel="0" collapsed="false">
      <c r="A65" s="12" t="n">
        <v>42084</v>
      </c>
      <c r="B65" s="0" t="s">
        <v>232</v>
      </c>
      <c r="C65" s="0" t="s">
        <v>197</v>
      </c>
      <c r="D65" s="0" t="s">
        <v>187</v>
      </c>
      <c r="E65" s="0" t="n">
        <v>5</v>
      </c>
      <c r="F65" s="0"/>
      <c r="G65" s="0" t="n">
        <v>12</v>
      </c>
    </row>
    <row r="66" customFormat="false" ht="15" hidden="false" customHeight="false" outlineLevel="0" collapsed="false">
      <c r="A66" s="12" t="n">
        <v>42083</v>
      </c>
      <c r="B66" s="0" t="s">
        <v>233</v>
      </c>
      <c r="C66" s="0" t="s">
        <v>197</v>
      </c>
      <c r="D66" s="0" t="s">
        <v>187</v>
      </c>
      <c r="E66" s="0" t="n">
        <v>5</v>
      </c>
      <c r="F66" s="0"/>
      <c r="G66" s="0" t="n">
        <v>12</v>
      </c>
    </row>
    <row r="67" customFormat="false" ht="15" hidden="false" customHeight="false" outlineLevel="0" collapsed="false">
      <c r="A67" s="12" t="n">
        <v>42082</v>
      </c>
      <c r="B67" s="0" t="s">
        <v>197</v>
      </c>
      <c r="C67" s="0" t="s">
        <v>197</v>
      </c>
      <c r="D67" s="0" t="s">
        <v>187</v>
      </c>
      <c r="E67" s="0" t="n">
        <v>5.5</v>
      </c>
      <c r="F67" s="0"/>
      <c r="G67" s="0" t="n">
        <v>12</v>
      </c>
    </row>
    <row r="68" customFormat="false" ht="15" hidden="false" customHeight="false" outlineLevel="0" collapsed="false">
      <c r="A68" s="12" t="n">
        <v>42081</v>
      </c>
      <c r="B68" s="0" t="s">
        <v>234</v>
      </c>
      <c r="C68" s="0" t="s">
        <v>12</v>
      </c>
      <c r="D68" s="0" t="s">
        <v>187</v>
      </c>
      <c r="E68" s="0" t="n">
        <v>3</v>
      </c>
      <c r="F68" s="0"/>
      <c r="G68" s="0" t="n">
        <v>12</v>
      </c>
    </row>
    <row r="69" customFormat="false" ht="15" hidden="false" customHeight="false" outlineLevel="0" collapsed="false">
      <c r="A69" s="12" t="n">
        <v>42080</v>
      </c>
      <c r="B69" s="0" t="s">
        <v>234</v>
      </c>
      <c r="C69" s="0" t="s">
        <v>12</v>
      </c>
      <c r="D69" s="0" t="s">
        <v>187</v>
      </c>
      <c r="E69" s="0" t="n">
        <v>4</v>
      </c>
      <c r="F69" s="0"/>
      <c r="G69" s="0" t="n">
        <v>12</v>
      </c>
    </row>
    <row r="70" customFormat="false" ht="15" hidden="false" customHeight="false" outlineLevel="0" collapsed="false">
      <c r="A70" s="12" t="n">
        <v>42079</v>
      </c>
      <c r="B70" s="0" t="s">
        <v>197</v>
      </c>
      <c r="C70" s="0" t="s">
        <v>197</v>
      </c>
      <c r="D70" s="0" t="s">
        <v>187</v>
      </c>
      <c r="E70" s="0" t="n">
        <v>3</v>
      </c>
      <c r="F70" s="0"/>
      <c r="G70" s="0" t="n">
        <v>12</v>
      </c>
    </row>
    <row r="71" customFormat="false" ht="15" hidden="false" customHeight="false" outlineLevel="0" collapsed="false">
      <c r="A71" s="12" t="n">
        <v>41918</v>
      </c>
      <c r="B71" s="0" t="s">
        <v>235</v>
      </c>
      <c r="C71" s="0" t="s">
        <v>169</v>
      </c>
      <c r="D71" s="0" t="s">
        <v>187</v>
      </c>
      <c r="E71" s="0" t="n">
        <v>4</v>
      </c>
      <c r="F71" s="0"/>
      <c r="G71" s="0" t="n">
        <v>41</v>
      </c>
    </row>
    <row r="72" customFormat="false" ht="15" hidden="false" customHeight="false" outlineLevel="0" collapsed="false">
      <c r="A72" s="12" t="n">
        <v>41918</v>
      </c>
      <c r="B72" s="0" t="s">
        <v>236</v>
      </c>
      <c r="C72" s="0" t="s">
        <v>237</v>
      </c>
      <c r="D72" s="0" t="s">
        <v>187</v>
      </c>
      <c r="E72" s="0" t="n">
        <v>1.5</v>
      </c>
      <c r="F72" s="0"/>
      <c r="G72" s="0" t="n">
        <v>41</v>
      </c>
    </row>
    <row r="73" customFormat="false" ht="15" hidden="false" customHeight="false" outlineLevel="0" collapsed="false">
      <c r="A73" s="12" t="n">
        <v>42076</v>
      </c>
      <c r="B73" s="0" t="s">
        <v>238</v>
      </c>
      <c r="C73" s="0" t="s">
        <v>12</v>
      </c>
      <c r="D73" s="0" t="s">
        <v>187</v>
      </c>
      <c r="E73" s="0" t="n">
        <v>2</v>
      </c>
      <c r="F73" s="0"/>
      <c r="G73" s="0" t="n">
        <v>11</v>
      </c>
    </row>
    <row r="74" customFormat="false" ht="15" hidden="false" customHeight="false" outlineLevel="0" collapsed="false">
      <c r="A74" s="12" t="n">
        <v>42076</v>
      </c>
      <c r="B74" s="0" t="s">
        <v>197</v>
      </c>
      <c r="C74" s="0" t="s">
        <v>197</v>
      </c>
      <c r="D74" s="0" t="s">
        <v>187</v>
      </c>
      <c r="E74" s="0" t="n">
        <v>2.5</v>
      </c>
      <c r="F74" s="0"/>
      <c r="G74" s="0" t="n">
        <v>11</v>
      </c>
    </row>
    <row r="75" customFormat="false" ht="15" hidden="false" customHeight="false" outlineLevel="0" collapsed="false">
      <c r="A75" s="12" t="n">
        <v>42075</v>
      </c>
      <c r="B75" s="0" t="s">
        <v>239</v>
      </c>
      <c r="C75" s="0" t="s">
        <v>162</v>
      </c>
      <c r="D75" s="0" t="s">
        <v>187</v>
      </c>
      <c r="E75" s="0" t="n">
        <v>5</v>
      </c>
      <c r="F75" s="0"/>
      <c r="G75" s="0" t="n">
        <v>11</v>
      </c>
    </row>
    <row r="76" customFormat="false" ht="15" hidden="false" customHeight="false" outlineLevel="0" collapsed="false">
      <c r="A76" s="12" t="n">
        <v>42075</v>
      </c>
      <c r="B76" s="0" t="s">
        <v>240</v>
      </c>
      <c r="C76" s="0" t="s">
        <v>162</v>
      </c>
      <c r="D76" s="0" t="s">
        <v>187</v>
      </c>
      <c r="E76" s="0" t="n">
        <v>1</v>
      </c>
      <c r="F76" s="0"/>
      <c r="G76" s="0" t="n">
        <v>11</v>
      </c>
    </row>
    <row r="77" customFormat="false" ht="15" hidden="false" customHeight="false" outlineLevel="0" collapsed="false">
      <c r="A77" s="12" t="n">
        <v>42074</v>
      </c>
      <c r="B77" s="0" t="s">
        <v>241</v>
      </c>
      <c r="C77" s="0" t="s">
        <v>197</v>
      </c>
      <c r="D77" s="0" t="s">
        <v>187</v>
      </c>
      <c r="E77" s="0" t="n">
        <v>1.5</v>
      </c>
      <c r="F77" s="0"/>
      <c r="G77" s="0" t="n">
        <v>11</v>
      </c>
    </row>
    <row r="78" customFormat="false" ht="15" hidden="false" customHeight="false" outlineLevel="0" collapsed="false">
      <c r="A78" s="12" t="n">
        <v>41919</v>
      </c>
      <c r="B78" s="0" t="s">
        <v>242</v>
      </c>
      <c r="C78" s="0" t="s">
        <v>12</v>
      </c>
      <c r="D78" s="0" t="s">
        <v>187</v>
      </c>
      <c r="E78" s="0" t="n">
        <v>1.5</v>
      </c>
      <c r="F78" s="0"/>
      <c r="G78" s="0" t="n">
        <v>41</v>
      </c>
    </row>
    <row r="79" customFormat="false" ht="15" hidden="false" customHeight="false" outlineLevel="0" collapsed="false">
      <c r="A79" s="12" t="n">
        <v>41919</v>
      </c>
      <c r="B79" s="0" t="s">
        <v>243</v>
      </c>
      <c r="C79" s="0" t="s">
        <v>169</v>
      </c>
      <c r="D79" s="0" t="s">
        <v>187</v>
      </c>
      <c r="E79" s="0" t="n">
        <v>1</v>
      </c>
      <c r="F79" s="0"/>
      <c r="G79" s="0" t="n">
        <v>41</v>
      </c>
    </row>
    <row r="80" customFormat="false" ht="15" hidden="false" customHeight="false" outlineLevel="0" collapsed="false">
      <c r="A80" s="12" t="n">
        <v>42073</v>
      </c>
      <c r="B80" s="0" t="s">
        <v>241</v>
      </c>
      <c r="C80" s="0" t="s">
        <v>197</v>
      </c>
      <c r="D80" s="0" t="s">
        <v>187</v>
      </c>
      <c r="E80" s="0" t="n">
        <v>4.5</v>
      </c>
      <c r="F80" s="0"/>
      <c r="G80" s="0" t="n">
        <v>11</v>
      </c>
    </row>
    <row r="81" customFormat="false" ht="15" hidden="false" customHeight="false" outlineLevel="0" collapsed="false">
      <c r="A81" s="12" t="n">
        <v>42073</v>
      </c>
      <c r="B81" s="0" t="s">
        <v>244</v>
      </c>
      <c r="C81" s="0" t="s">
        <v>162</v>
      </c>
      <c r="D81" s="0" t="s">
        <v>187</v>
      </c>
      <c r="E81" s="0" t="n">
        <v>3</v>
      </c>
      <c r="F81" s="0"/>
      <c r="G81" s="0" t="n">
        <v>11</v>
      </c>
    </row>
    <row r="82" customFormat="false" ht="15" hidden="false" customHeight="false" outlineLevel="0" collapsed="false">
      <c r="A82" s="12" t="n">
        <v>42072</v>
      </c>
      <c r="B82" s="0" t="s">
        <v>233</v>
      </c>
      <c r="C82" s="0" t="s">
        <v>197</v>
      </c>
      <c r="D82" s="0" t="s">
        <v>187</v>
      </c>
      <c r="E82" s="0" t="n">
        <v>4.5</v>
      </c>
      <c r="F82" s="0"/>
      <c r="G82" s="0" t="n">
        <v>11</v>
      </c>
    </row>
    <row r="83" customFormat="false" ht="15" hidden="false" customHeight="false" outlineLevel="0" collapsed="false">
      <c r="A83" s="12" t="n">
        <v>42069</v>
      </c>
      <c r="B83" s="0" t="s">
        <v>245</v>
      </c>
      <c r="C83" s="0" t="s">
        <v>162</v>
      </c>
      <c r="D83" s="0" t="s">
        <v>187</v>
      </c>
      <c r="E83" s="0" t="n">
        <v>2</v>
      </c>
      <c r="F83" s="0"/>
      <c r="G83" s="0" t="n">
        <v>10</v>
      </c>
    </row>
    <row r="84" customFormat="false" ht="15" hidden="false" customHeight="false" outlineLevel="0" collapsed="false">
      <c r="A84" s="12" t="n">
        <v>42069</v>
      </c>
      <c r="B84" s="0" t="s">
        <v>233</v>
      </c>
      <c r="C84" s="0" t="s">
        <v>197</v>
      </c>
      <c r="D84" s="0" t="s">
        <v>187</v>
      </c>
      <c r="E84" s="0" t="n">
        <v>3.5</v>
      </c>
      <c r="F84" s="0"/>
      <c r="G84" s="0" t="n">
        <v>10</v>
      </c>
    </row>
    <row r="85" customFormat="false" ht="15" hidden="false" customHeight="false" outlineLevel="0" collapsed="false">
      <c r="A85" s="12" t="n">
        <v>42068</v>
      </c>
      <c r="B85" s="0" t="s">
        <v>233</v>
      </c>
      <c r="C85" s="0" t="s">
        <v>197</v>
      </c>
      <c r="D85" s="0" t="s">
        <v>187</v>
      </c>
      <c r="E85" s="0" t="n">
        <v>5</v>
      </c>
      <c r="F85" s="0"/>
      <c r="G85" s="0" t="n">
        <v>10</v>
      </c>
    </row>
    <row r="86" customFormat="false" ht="15" hidden="false" customHeight="false" outlineLevel="0" collapsed="false">
      <c r="A86" s="12" t="n">
        <v>41920</v>
      </c>
      <c r="B86" s="0" t="s">
        <v>246</v>
      </c>
      <c r="C86" s="0" t="s">
        <v>12</v>
      </c>
      <c r="D86" s="0" t="s">
        <v>187</v>
      </c>
      <c r="E86" s="0" t="n">
        <v>0.5</v>
      </c>
      <c r="F86" s="0"/>
      <c r="G86" s="0" t="n">
        <v>41</v>
      </c>
    </row>
    <row r="87" customFormat="false" ht="15" hidden="false" customHeight="false" outlineLevel="0" collapsed="false">
      <c r="A87" s="12" t="n">
        <v>42067</v>
      </c>
      <c r="B87" s="0" t="s">
        <v>247</v>
      </c>
      <c r="C87" s="0" t="s">
        <v>197</v>
      </c>
      <c r="D87" s="0" t="s">
        <v>187</v>
      </c>
      <c r="E87" s="0" t="n">
        <v>3.5</v>
      </c>
      <c r="F87" s="0"/>
      <c r="G87" s="0" t="n">
        <v>10</v>
      </c>
    </row>
    <row r="88" customFormat="false" ht="15" hidden="false" customHeight="false" outlineLevel="0" collapsed="false">
      <c r="A88" s="12" t="n">
        <v>42066</v>
      </c>
      <c r="B88" s="0" t="s">
        <v>197</v>
      </c>
      <c r="C88" s="0" t="s">
        <v>197</v>
      </c>
      <c r="D88" s="0" t="s">
        <v>187</v>
      </c>
      <c r="E88" s="0" t="n">
        <v>6</v>
      </c>
      <c r="F88" s="0"/>
      <c r="G88" s="0" t="n">
        <v>10</v>
      </c>
    </row>
    <row r="89" customFormat="false" ht="15" hidden="false" customHeight="false" outlineLevel="0" collapsed="false">
      <c r="A89" s="12" t="n">
        <v>42065</v>
      </c>
      <c r="B89" s="0" t="s">
        <v>202</v>
      </c>
      <c r="C89" s="0" t="s">
        <v>162</v>
      </c>
      <c r="D89" s="0" t="s">
        <v>187</v>
      </c>
      <c r="E89" s="0" t="n">
        <v>2</v>
      </c>
      <c r="F89" s="0"/>
      <c r="G89" s="0" t="n">
        <v>10</v>
      </c>
    </row>
    <row r="90" customFormat="false" ht="15" hidden="false" customHeight="false" outlineLevel="0" collapsed="false">
      <c r="A90" s="12" t="n">
        <v>42065</v>
      </c>
      <c r="B90" s="0" t="s">
        <v>248</v>
      </c>
      <c r="C90" s="0" t="s">
        <v>197</v>
      </c>
      <c r="D90" s="0" t="s">
        <v>187</v>
      </c>
      <c r="E90" s="0" t="n">
        <v>1.5</v>
      </c>
      <c r="F90" s="0"/>
      <c r="G90" s="0" t="n">
        <v>10</v>
      </c>
    </row>
    <row r="91" customFormat="false" ht="15" hidden="false" customHeight="false" outlineLevel="0" collapsed="false">
      <c r="A91" s="12" t="n">
        <v>42065</v>
      </c>
      <c r="B91" s="0" t="s">
        <v>249</v>
      </c>
      <c r="C91" s="0" t="s">
        <v>162</v>
      </c>
      <c r="D91" s="0" t="s">
        <v>187</v>
      </c>
      <c r="E91" s="0" t="n">
        <v>3</v>
      </c>
      <c r="F91" s="0"/>
      <c r="G91" s="0" t="n">
        <v>10</v>
      </c>
    </row>
    <row r="92" customFormat="false" ht="15" hidden="false" customHeight="false" outlineLevel="0" collapsed="false">
      <c r="A92" s="12" t="n">
        <v>42062</v>
      </c>
      <c r="B92" s="0" t="s">
        <v>250</v>
      </c>
      <c r="C92" s="0" t="s">
        <v>162</v>
      </c>
      <c r="D92" s="0" t="s">
        <v>187</v>
      </c>
      <c r="E92" s="0" t="n">
        <v>4.5</v>
      </c>
      <c r="F92" s="0"/>
      <c r="G92" s="0" t="n">
        <v>9</v>
      </c>
    </row>
    <row r="93" customFormat="false" ht="15" hidden="false" customHeight="false" outlineLevel="0" collapsed="false">
      <c r="A93" s="12" t="n">
        <v>42061</v>
      </c>
      <c r="B93" s="0" t="s">
        <v>251</v>
      </c>
      <c r="C93" s="0" t="s">
        <v>12</v>
      </c>
      <c r="D93" s="0" t="s">
        <v>187</v>
      </c>
      <c r="E93" s="0" t="n">
        <v>5.5</v>
      </c>
      <c r="F93" s="0"/>
      <c r="G93" s="0" t="n">
        <v>9</v>
      </c>
    </row>
    <row r="94" customFormat="false" ht="15" hidden="false" customHeight="false" outlineLevel="0" collapsed="false">
      <c r="A94" s="12" t="n">
        <v>42060</v>
      </c>
      <c r="B94" s="0" t="s">
        <v>252</v>
      </c>
      <c r="C94" s="0" t="s">
        <v>162</v>
      </c>
      <c r="D94" s="0" t="s">
        <v>187</v>
      </c>
      <c r="E94" s="0" t="n">
        <v>1</v>
      </c>
      <c r="F94" s="0"/>
      <c r="G94" s="0" t="n">
        <v>9</v>
      </c>
    </row>
    <row r="95" customFormat="false" ht="15" hidden="false" customHeight="false" outlineLevel="0" collapsed="false">
      <c r="A95" s="12" t="n">
        <v>42059</v>
      </c>
      <c r="B95" s="0" t="s">
        <v>253</v>
      </c>
      <c r="C95" s="0" t="s">
        <v>162</v>
      </c>
      <c r="D95" s="0" t="s">
        <v>187</v>
      </c>
      <c r="E95" s="0" t="n">
        <v>2</v>
      </c>
      <c r="F95" s="0"/>
      <c r="G95" s="0" t="n">
        <v>9</v>
      </c>
    </row>
    <row r="96" customFormat="false" ht="15" hidden="false" customHeight="false" outlineLevel="0" collapsed="false">
      <c r="A96" s="12" t="n">
        <v>42058</v>
      </c>
      <c r="B96" s="0" t="s">
        <v>254</v>
      </c>
      <c r="C96" s="0" t="s">
        <v>162</v>
      </c>
      <c r="D96" s="0" t="s">
        <v>187</v>
      </c>
      <c r="E96" s="0" t="n">
        <v>1.5</v>
      </c>
      <c r="F96" s="0"/>
      <c r="G96" s="0" t="n">
        <v>9</v>
      </c>
    </row>
    <row r="97" customFormat="false" ht="15" hidden="false" customHeight="false" outlineLevel="0" collapsed="false">
      <c r="A97" s="12" t="n">
        <v>42055</v>
      </c>
      <c r="B97" s="0" t="s">
        <v>255</v>
      </c>
      <c r="C97" s="0" t="s">
        <v>162</v>
      </c>
      <c r="D97" s="0" t="s">
        <v>187</v>
      </c>
      <c r="E97" s="0" t="n">
        <v>5</v>
      </c>
      <c r="F97" s="0"/>
      <c r="G97" s="0" t="n">
        <v>8</v>
      </c>
    </row>
    <row r="98" customFormat="false" ht="15" hidden="false" customHeight="false" outlineLevel="0" collapsed="false">
      <c r="A98" s="12" t="n">
        <v>42054</v>
      </c>
      <c r="B98" s="0" t="s">
        <v>256</v>
      </c>
      <c r="C98" s="0" t="s">
        <v>162</v>
      </c>
      <c r="D98" s="0" t="s">
        <v>187</v>
      </c>
      <c r="E98" s="0" t="n">
        <v>5.5</v>
      </c>
      <c r="F98" s="0"/>
      <c r="G98" s="0" t="n">
        <v>8</v>
      </c>
    </row>
    <row r="99" customFormat="false" ht="15" hidden="false" customHeight="false" outlineLevel="0" collapsed="false">
      <c r="A99" s="12" t="n">
        <v>42053</v>
      </c>
      <c r="B99" s="0" t="s">
        <v>253</v>
      </c>
      <c r="C99" s="0" t="s">
        <v>162</v>
      </c>
      <c r="D99" s="0" t="s">
        <v>187</v>
      </c>
      <c r="E99" s="0" t="n">
        <v>4.5</v>
      </c>
      <c r="F99" s="0"/>
      <c r="G99" s="0" t="n">
        <v>8</v>
      </c>
    </row>
    <row r="100" customFormat="false" ht="15" hidden="false" customHeight="false" outlineLevel="0" collapsed="false">
      <c r="A100" s="12" t="n">
        <v>42052</v>
      </c>
      <c r="B100" s="0" t="s">
        <v>257</v>
      </c>
      <c r="C100" s="0" t="s">
        <v>12</v>
      </c>
      <c r="D100" s="0" t="s">
        <v>187</v>
      </c>
      <c r="E100" s="0" t="n">
        <v>5</v>
      </c>
      <c r="F100" s="0"/>
      <c r="G100" s="0" t="n">
        <v>8</v>
      </c>
    </row>
    <row r="101" customFormat="false" ht="15" hidden="false" customHeight="false" outlineLevel="0" collapsed="false">
      <c r="A101" s="12" t="n">
        <v>42051</v>
      </c>
      <c r="B101" s="0" t="s">
        <v>258</v>
      </c>
      <c r="C101" s="0" t="s">
        <v>12</v>
      </c>
      <c r="D101" s="0" t="s">
        <v>187</v>
      </c>
      <c r="E101" s="0" t="n">
        <v>1</v>
      </c>
      <c r="F101" s="0"/>
      <c r="G101" s="0" t="n">
        <v>8</v>
      </c>
    </row>
    <row r="102" customFormat="false" ht="15" hidden="false" customHeight="false" outlineLevel="0" collapsed="false">
      <c r="A102" s="12" t="n">
        <v>41992</v>
      </c>
      <c r="B102" s="0" t="s">
        <v>259</v>
      </c>
      <c r="C102" s="0" t="s">
        <v>162</v>
      </c>
      <c r="D102" s="0" t="s">
        <v>187</v>
      </c>
      <c r="E102" s="0" t="n">
        <v>5</v>
      </c>
      <c r="F102" s="0"/>
      <c r="G102" s="0" t="n">
        <v>51</v>
      </c>
    </row>
    <row r="103" customFormat="false" ht="15" hidden="false" customHeight="false" outlineLevel="0" collapsed="false">
      <c r="A103" s="12" t="n">
        <v>41991</v>
      </c>
      <c r="B103" s="0" t="s">
        <v>259</v>
      </c>
      <c r="C103" s="0" t="s">
        <v>162</v>
      </c>
      <c r="D103" s="0" t="s">
        <v>187</v>
      </c>
      <c r="E103" s="0" t="n">
        <v>10</v>
      </c>
      <c r="F103" s="0"/>
      <c r="G103" s="0" t="n">
        <v>51</v>
      </c>
    </row>
    <row r="104" customFormat="false" ht="15" hidden="false" customHeight="false" outlineLevel="0" collapsed="false">
      <c r="A104" s="12" t="n">
        <v>41990</v>
      </c>
      <c r="B104" s="0" t="s">
        <v>190</v>
      </c>
      <c r="C104" s="0" t="s">
        <v>162</v>
      </c>
      <c r="D104" s="0" t="s">
        <v>187</v>
      </c>
      <c r="E104" s="0" t="n">
        <v>2.5</v>
      </c>
      <c r="F104" s="0"/>
      <c r="G104" s="0" t="n">
        <v>51</v>
      </c>
    </row>
    <row r="105" customFormat="false" ht="15" hidden="false" customHeight="false" outlineLevel="0" collapsed="false">
      <c r="A105" s="12" t="n">
        <v>41990</v>
      </c>
      <c r="B105" s="0" t="s">
        <v>259</v>
      </c>
      <c r="C105" s="0" t="s">
        <v>162</v>
      </c>
      <c r="D105" s="0" t="s">
        <v>187</v>
      </c>
      <c r="E105" s="0" t="n">
        <v>4</v>
      </c>
      <c r="F105" s="0"/>
      <c r="G105" s="0" t="n">
        <v>51</v>
      </c>
    </row>
    <row r="106" customFormat="false" ht="15" hidden="false" customHeight="false" outlineLevel="0" collapsed="false">
      <c r="A106" s="12" t="n">
        <v>41989</v>
      </c>
      <c r="B106" s="0" t="s">
        <v>259</v>
      </c>
      <c r="C106" s="0" t="s">
        <v>162</v>
      </c>
      <c r="D106" s="0" t="s">
        <v>187</v>
      </c>
      <c r="E106" s="0" t="n">
        <v>10.5</v>
      </c>
      <c r="F106" s="0"/>
      <c r="G106" s="0" t="n">
        <v>51</v>
      </c>
    </row>
    <row r="107" customFormat="false" ht="15" hidden="false" customHeight="false" outlineLevel="0" collapsed="false">
      <c r="A107" s="12" t="n">
        <v>41988</v>
      </c>
      <c r="B107" s="0" t="s">
        <v>259</v>
      </c>
      <c r="C107" s="0" t="s">
        <v>162</v>
      </c>
      <c r="D107" s="0" t="s">
        <v>187</v>
      </c>
      <c r="E107" s="0" t="n">
        <v>7</v>
      </c>
      <c r="F107" s="0"/>
      <c r="G107" s="0" t="n">
        <v>51</v>
      </c>
    </row>
    <row r="108" customFormat="false" ht="15" hidden="false" customHeight="false" outlineLevel="0" collapsed="false">
      <c r="A108" s="12" t="n">
        <v>41988</v>
      </c>
      <c r="B108" s="0" t="s">
        <v>260</v>
      </c>
      <c r="C108" s="0" t="s">
        <v>162</v>
      </c>
      <c r="D108" s="0" t="s">
        <v>187</v>
      </c>
      <c r="E108" s="0" t="n">
        <v>2</v>
      </c>
      <c r="F108" s="0"/>
      <c r="G108" s="0" t="n">
        <v>51</v>
      </c>
    </row>
    <row r="109" customFormat="false" ht="15" hidden="false" customHeight="false" outlineLevel="0" collapsed="false">
      <c r="A109" s="12" t="n">
        <v>41986</v>
      </c>
      <c r="B109" s="0" t="s">
        <v>261</v>
      </c>
      <c r="C109" s="0" t="s">
        <v>165</v>
      </c>
      <c r="D109" s="0" t="s">
        <v>187</v>
      </c>
      <c r="E109" s="0" t="n">
        <v>6</v>
      </c>
      <c r="F109" s="0"/>
      <c r="G109" s="0" t="n">
        <v>50</v>
      </c>
    </row>
    <row r="110" customFormat="false" ht="15" hidden="false" customHeight="false" outlineLevel="0" collapsed="false">
      <c r="A110" s="12" t="n">
        <v>41985</v>
      </c>
      <c r="B110" s="0" t="s">
        <v>262</v>
      </c>
      <c r="C110" s="0" t="s">
        <v>162</v>
      </c>
      <c r="D110" s="0" t="s">
        <v>187</v>
      </c>
      <c r="E110" s="0" t="n">
        <v>10.5</v>
      </c>
      <c r="F110" s="0"/>
      <c r="G110" s="0" t="n">
        <v>50</v>
      </c>
    </row>
    <row r="111" customFormat="false" ht="15" hidden="false" customHeight="false" outlineLevel="0" collapsed="false">
      <c r="A111" s="12" t="n">
        <v>41984</v>
      </c>
      <c r="B111" s="0" t="s">
        <v>263</v>
      </c>
      <c r="C111" s="0" t="s">
        <v>165</v>
      </c>
      <c r="D111" s="0" t="s">
        <v>187</v>
      </c>
      <c r="E111" s="0" t="n">
        <v>1.5</v>
      </c>
      <c r="F111" s="0"/>
      <c r="G111" s="0" t="n">
        <v>50</v>
      </c>
    </row>
    <row r="112" customFormat="false" ht="15" hidden="false" customHeight="false" outlineLevel="0" collapsed="false">
      <c r="A112" s="12" t="n">
        <v>41984</v>
      </c>
      <c r="B112" s="0" t="s">
        <v>264</v>
      </c>
      <c r="C112" s="0" t="s">
        <v>165</v>
      </c>
      <c r="D112" s="0" t="s">
        <v>187</v>
      </c>
      <c r="E112" s="0" t="n">
        <v>5</v>
      </c>
      <c r="F112" s="0"/>
      <c r="G112" s="0" t="n">
        <v>50</v>
      </c>
    </row>
    <row r="113" customFormat="false" ht="15" hidden="false" customHeight="false" outlineLevel="0" collapsed="false">
      <c r="A113" s="12" t="n">
        <v>41983</v>
      </c>
      <c r="B113" s="0" t="s">
        <v>265</v>
      </c>
      <c r="C113" s="0" t="s">
        <v>165</v>
      </c>
      <c r="D113" s="0" t="s">
        <v>187</v>
      </c>
      <c r="E113" s="0" t="n">
        <v>4</v>
      </c>
      <c r="F113" s="0"/>
      <c r="G113" s="0" t="n">
        <v>50</v>
      </c>
    </row>
    <row r="114" customFormat="false" ht="15" hidden="false" customHeight="false" outlineLevel="0" collapsed="false">
      <c r="A114" s="12" t="n">
        <v>41982</v>
      </c>
      <c r="B114" s="0" t="s">
        <v>266</v>
      </c>
      <c r="C114" s="0" t="s">
        <v>165</v>
      </c>
      <c r="D114" s="0" t="s">
        <v>187</v>
      </c>
      <c r="E114" s="0" t="n">
        <v>9</v>
      </c>
      <c r="F114" s="0"/>
      <c r="G114" s="0" t="n">
        <v>50</v>
      </c>
    </row>
    <row r="115" customFormat="false" ht="15" hidden="false" customHeight="false" outlineLevel="0" collapsed="false">
      <c r="A115" s="12" t="n">
        <v>41925</v>
      </c>
      <c r="B115" s="0" t="s">
        <v>267</v>
      </c>
      <c r="C115" s="0" t="s">
        <v>237</v>
      </c>
      <c r="D115" s="0" t="s">
        <v>187</v>
      </c>
      <c r="E115" s="0" t="n">
        <v>6</v>
      </c>
      <c r="F115" s="0"/>
      <c r="G115" s="0" t="n">
        <v>42</v>
      </c>
    </row>
    <row r="116" customFormat="false" ht="15" hidden="false" customHeight="false" outlineLevel="0" collapsed="false">
      <c r="A116" s="12" t="n">
        <v>41981</v>
      </c>
      <c r="B116" s="0" t="s">
        <v>268</v>
      </c>
      <c r="C116" s="0" t="s">
        <v>165</v>
      </c>
      <c r="D116" s="0" t="s">
        <v>187</v>
      </c>
      <c r="E116" s="0" t="n">
        <v>8</v>
      </c>
      <c r="F116" s="0"/>
      <c r="G116" s="0" t="n">
        <v>50</v>
      </c>
    </row>
    <row r="117" customFormat="false" ht="15" hidden="false" customHeight="false" outlineLevel="0" collapsed="false">
      <c r="A117" s="12" t="n">
        <v>41980</v>
      </c>
      <c r="B117" s="0" t="s">
        <v>264</v>
      </c>
      <c r="C117" s="0" t="s">
        <v>165</v>
      </c>
      <c r="D117" s="0" t="s">
        <v>187</v>
      </c>
      <c r="E117" s="0" t="n">
        <v>3.5</v>
      </c>
      <c r="F117" s="0"/>
      <c r="G117" s="0" t="n">
        <v>49</v>
      </c>
    </row>
    <row r="118" customFormat="false" ht="15" hidden="false" customHeight="false" outlineLevel="0" collapsed="false">
      <c r="A118" s="12" t="n">
        <v>41979</v>
      </c>
      <c r="B118" s="0" t="s">
        <v>269</v>
      </c>
      <c r="C118" s="0" t="s">
        <v>165</v>
      </c>
      <c r="D118" s="0" t="s">
        <v>187</v>
      </c>
      <c r="E118" s="0" t="n">
        <v>2</v>
      </c>
      <c r="F118" s="0"/>
      <c r="G118" s="0" t="n">
        <v>49</v>
      </c>
    </row>
    <row r="119" customFormat="false" ht="15" hidden="false" customHeight="false" outlineLevel="0" collapsed="false">
      <c r="A119" s="12" t="n">
        <v>41978</v>
      </c>
      <c r="B119" s="0" t="s">
        <v>269</v>
      </c>
      <c r="C119" s="0" t="s">
        <v>165</v>
      </c>
      <c r="D119" s="0" t="s">
        <v>187</v>
      </c>
      <c r="E119" s="0" t="n">
        <v>6</v>
      </c>
      <c r="F119" s="0"/>
      <c r="G119" s="0" t="n">
        <v>49</v>
      </c>
    </row>
    <row r="120" customFormat="false" ht="15" hidden="false" customHeight="false" outlineLevel="0" collapsed="false">
      <c r="A120" s="12" t="n">
        <v>41977</v>
      </c>
      <c r="B120" s="0" t="s">
        <v>270</v>
      </c>
      <c r="C120" s="0" t="s">
        <v>165</v>
      </c>
      <c r="D120" s="0" t="s">
        <v>187</v>
      </c>
      <c r="E120" s="0" t="n">
        <v>7</v>
      </c>
      <c r="F120" s="0"/>
      <c r="G120" s="0" t="n">
        <v>49</v>
      </c>
    </row>
    <row r="121" customFormat="false" ht="15" hidden="false" customHeight="false" outlineLevel="0" collapsed="false">
      <c r="A121" s="12" t="n">
        <v>41977</v>
      </c>
      <c r="B121" s="0" t="s">
        <v>271</v>
      </c>
      <c r="C121" s="0" t="s">
        <v>12</v>
      </c>
      <c r="D121" s="0" t="s">
        <v>187</v>
      </c>
      <c r="E121" s="0" t="n">
        <v>1</v>
      </c>
      <c r="F121" s="0"/>
      <c r="G121" s="0" t="n">
        <v>49</v>
      </c>
    </row>
    <row r="122" customFormat="false" ht="15" hidden="false" customHeight="false" outlineLevel="0" collapsed="false">
      <c r="A122" s="12" t="n">
        <v>41976</v>
      </c>
      <c r="B122" s="0" t="s">
        <v>272</v>
      </c>
      <c r="C122" s="0" t="s">
        <v>165</v>
      </c>
      <c r="D122" s="0" t="s">
        <v>187</v>
      </c>
      <c r="E122" s="0" t="n">
        <v>4</v>
      </c>
      <c r="F122" s="0"/>
      <c r="G122" s="0" t="n">
        <v>49</v>
      </c>
    </row>
    <row r="123" customFormat="false" ht="15" hidden="false" customHeight="false" outlineLevel="0" collapsed="false">
      <c r="A123" s="12" t="n">
        <v>41975</v>
      </c>
      <c r="B123" s="0" t="s">
        <v>273</v>
      </c>
      <c r="C123" s="0" t="s">
        <v>165</v>
      </c>
      <c r="D123" s="0" t="s">
        <v>187</v>
      </c>
      <c r="E123" s="0" t="n">
        <v>4</v>
      </c>
      <c r="F123" s="0"/>
      <c r="G123" s="0" t="n">
        <v>49</v>
      </c>
    </row>
    <row r="124" customFormat="false" ht="15" hidden="false" customHeight="false" outlineLevel="0" collapsed="false">
      <c r="A124" s="12" t="n">
        <v>41975</v>
      </c>
      <c r="B124" s="0" t="s">
        <v>274</v>
      </c>
      <c r="C124" s="0" t="s">
        <v>165</v>
      </c>
      <c r="D124" s="0" t="s">
        <v>187</v>
      </c>
      <c r="E124" s="0" t="n">
        <v>2</v>
      </c>
      <c r="F124" s="0"/>
      <c r="G124" s="0" t="n">
        <v>49</v>
      </c>
    </row>
    <row r="125" customFormat="false" ht="15" hidden="false" customHeight="false" outlineLevel="0" collapsed="false">
      <c r="A125" s="12" t="n">
        <v>41974</v>
      </c>
      <c r="B125" s="0" t="s">
        <v>273</v>
      </c>
      <c r="C125" s="0" t="s">
        <v>165</v>
      </c>
      <c r="D125" s="0" t="s">
        <v>187</v>
      </c>
      <c r="E125" s="0" t="n">
        <v>5</v>
      </c>
      <c r="F125" s="0"/>
      <c r="G125" s="0" t="n">
        <v>49</v>
      </c>
    </row>
    <row r="126" customFormat="false" ht="15" hidden="false" customHeight="false" outlineLevel="0" collapsed="false">
      <c r="A126" s="12" t="n">
        <v>41974</v>
      </c>
      <c r="B126" s="0" t="s">
        <v>275</v>
      </c>
      <c r="C126" s="0" t="s">
        <v>165</v>
      </c>
      <c r="D126" s="0" t="s">
        <v>187</v>
      </c>
      <c r="E126" s="0" t="n">
        <v>4</v>
      </c>
      <c r="F126" s="0"/>
      <c r="G126" s="0" t="n">
        <v>49</v>
      </c>
    </row>
    <row r="127" customFormat="false" ht="15" hidden="false" customHeight="false" outlineLevel="0" collapsed="false">
      <c r="A127" s="12" t="n">
        <v>41971</v>
      </c>
      <c r="B127" s="0" t="s">
        <v>272</v>
      </c>
      <c r="C127" s="0" t="s">
        <v>165</v>
      </c>
      <c r="D127" s="0" t="s">
        <v>187</v>
      </c>
      <c r="E127" s="0" t="n">
        <v>8</v>
      </c>
      <c r="F127" s="0"/>
      <c r="G127" s="0" t="n">
        <v>48</v>
      </c>
    </row>
    <row r="128" customFormat="false" ht="15" hidden="false" customHeight="false" outlineLevel="0" collapsed="false">
      <c r="A128" s="12" t="n">
        <v>41970</v>
      </c>
      <c r="B128" s="0" t="s">
        <v>272</v>
      </c>
      <c r="C128" s="0" t="s">
        <v>165</v>
      </c>
      <c r="D128" s="0" t="s">
        <v>187</v>
      </c>
      <c r="E128" s="0" t="n">
        <v>6</v>
      </c>
      <c r="F128" s="0"/>
      <c r="G128" s="0" t="n">
        <v>48</v>
      </c>
    </row>
    <row r="129" customFormat="false" ht="15" hidden="false" customHeight="false" outlineLevel="0" collapsed="false">
      <c r="A129" s="12" t="n">
        <v>41969</v>
      </c>
      <c r="B129" s="0" t="s">
        <v>272</v>
      </c>
      <c r="C129" s="0" t="s">
        <v>165</v>
      </c>
      <c r="D129" s="0" t="s">
        <v>187</v>
      </c>
      <c r="E129" s="0" t="n">
        <v>4</v>
      </c>
      <c r="F129" s="0"/>
      <c r="G129" s="0" t="n">
        <v>48</v>
      </c>
    </row>
    <row r="130" customFormat="false" ht="15" hidden="false" customHeight="false" outlineLevel="0" collapsed="false">
      <c r="A130" s="12" t="n">
        <v>41968</v>
      </c>
      <c r="B130" s="0" t="s">
        <v>273</v>
      </c>
      <c r="C130" s="0" t="s">
        <v>165</v>
      </c>
      <c r="D130" s="0" t="s">
        <v>187</v>
      </c>
      <c r="E130" s="0" t="n">
        <v>8.5</v>
      </c>
      <c r="F130" s="0"/>
      <c r="G130" s="0" t="n">
        <v>48</v>
      </c>
    </row>
    <row r="131" customFormat="false" ht="15" hidden="false" customHeight="false" outlineLevel="0" collapsed="false">
      <c r="A131" s="12" t="n">
        <v>41967</v>
      </c>
      <c r="B131" s="0" t="s">
        <v>276</v>
      </c>
      <c r="C131" s="0" t="s">
        <v>165</v>
      </c>
      <c r="D131" s="0" t="s">
        <v>187</v>
      </c>
      <c r="E131" s="0" t="n">
        <v>7.5</v>
      </c>
      <c r="F131" s="0"/>
      <c r="G131" s="0" t="n">
        <v>48</v>
      </c>
    </row>
    <row r="132" customFormat="false" ht="15" hidden="false" customHeight="false" outlineLevel="0" collapsed="false">
      <c r="A132" s="12" t="n">
        <v>41967</v>
      </c>
      <c r="B132" s="0" t="s">
        <v>277</v>
      </c>
      <c r="C132" s="0" t="s">
        <v>165</v>
      </c>
      <c r="D132" s="0" t="s">
        <v>187</v>
      </c>
      <c r="E132" s="0" t="n">
        <v>4.5</v>
      </c>
      <c r="F132" s="0"/>
      <c r="G132" s="0" t="n">
        <v>48</v>
      </c>
    </row>
    <row r="133" customFormat="false" ht="15" hidden="false" customHeight="false" outlineLevel="0" collapsed="false">
      <c r="A133" s="12" t="n">
        <v>41965</v>
      </c>
      <c r="B133" s="0" t="s">
        <v>276</v>
      </c>
      <c r="C133" s="0" t="s">
        <v>165</v>
      </c>
      <c r="D133" s="0" t="s">
        <v>187</v>
      </c>
      <c r="E133" s="0" t="n">
        <v>1</v>
      </c>
      <c r="F133" s="0"/>
      <c r="G133" s="0" t="n">
        <v>47</v>
      </c>
    </row>
    <row r="134" customFormat="false" ht="15" hidden="false" customHeight="false" outlineLevel="0" collapsed="false">
      <c r="A134" s="12" t="n">
        <v>41964</v>
      </c>
      <c r="B134" s="0" t="s">
        <v>276</v>
      </c>
      <c r="C134" s="0" t="s">
        <v>165</v>
      </c>
      <c r="D134" s="0" t="s">
        <v>187</v>
      </c>
      <c r="E134" s="0" t="n">
        <v>6</v>
      </c>
      <c r="F134" s="0"/>
      <c r="G134" s="0" t="n">
        <v>47</v>
      </c>
    </row>
    <row r="135" customFormat="false" ht="15" hidden="false" customHeight="false" outlineLevel="0" collapsed="false">
      <c r="A135" s="12" t="n">
        <v>41963</v>
      </c>
      <c r="B135" s="0" t="s">
        <v>278</v>
      </c>
      <c r="C135" s="0" t="s">
        <v>165</v>
      </c>
      <c r="D135" s="0" t="s">
        <v>187</v>
      </c>
      <c r="E135" s="0" t="n">
        <v>6</v>
      </c>
      <c r="F135" s="0"/>
      <c r="G135" s="0" t="n">
        <v>47</v>
      </c>
    </row>
    <row r="136" customFormat="false" ht="15" hidden="false" customHeight="false" outlineLevel="0" collapsed="false">
      <c r="A136" s="12" t="n">
        <v>41962</v>
      </c>
      <c r="B136" s="0" t="s">
        <v>190</v>
      </c>
      <c r="C136" s="0" t="s">
        <v>237</v>
      </c>
      <c r="D136" s="0" t="s">
        <v>187</v>
      </c>
      <c r="E136" s="0" t="n">
        <v>3.5</v>
      </c>
      <c r="F136" s="0"/>
      <c r="G136" s="0" t="n">
        <v>47</v>
      </c>
    </row>
    <row r="137" customFormat="false" ht="15" hidden="false" customHeight="false" outlineLevel="0" collapsed="false">
      <c r="A137" s="12" t="n">
        <v>41961</v>
      </c>
      <c r="B137" s="0" t="s">
        <v>279</v>
      </c>
      <c r="C137" s="0" t="s">
        <v>165</v>
      </c>
      <c r="D137" s="0" t="s">
        <v>187</v>
      </c>
      <c r="E137" s="0" t="n">
        <v>2</v>
      </c>
      <c r="F137" s="0"/>
      <c r="G137" s="0" t="n">
        <v>47</v>
      </c>
    </row>
    <row r="138" customFormat="false" ht="15" hidden="false" customHeight="false" outlineLevel="0" collapsed="false">
      <c r="A138" s="12" t="n">
        <v>41960</v>
      </c>
      <c r="B138" s="0" t="s">
        <v>190</v>
      </c>
      <c r="C138" s="0" t="s">
        <v>237</v>
      </c>
      <c r="D138" s="0" t="s">
        <v>187</v>
      </c>
      <c r="E138" s="0" t="n">
        <v>6</v>
      </c>
      <c r="F138" s="0"/>
      <c r="G138" s="0" t="n">
        <v>47</v>
      </c>
    </row>
    <row r="139" customFormat="false" ht="15" hidden="false" customHeight="false" outlineLevel="0" collapsed="false">
      <c r="A139" s="12" t="n">
        <v>41960</v>
      </c>
      <c r="B139" s="0" t="s">
        <v>31</v>
      </c>
      <c r="C139" s="0" t="s">
        <v>165</v>
      </c>
      <c r="D139" s="0" t="s">
        <v>187</v>
      </c>
      <c r="E139" s="0" t="n">
        <v>1</v>
      </c>
      <c r="F139" s="0"/>
      <c r="G139" s="0" t="n">
        <v>47</v>
      </c>
    </row>
    <row r="140" customFormat="false" ht="15" hidden="false" customHeight="false" outlineLevel="0" collapsed="false">
      <c r="A140" s="12" t="n">
        <v>41958</v>
      </c>
      <c r="B140" s="0" t="s">
        <v>280</v>
      </c>
      <c r="C140" s="0" t="s">
        <v>165</v>
      </c>
      <c r="D140" s="0" t="s">
        <v>187</v>
      </c>
      <c r="E140" s="0" t="n">
        <v>1.5</v>
      </c>
      <c r="F140" s="0"/>
      <c r="G140" s="0" t="n">
        <v>46</v>
      </c>
    </row>
    <row r="141" customFormat="false" ht="15" hidden="false" customHeight="false" outlineLevel="0" collapsed="false">
      <c r="A141" s="12" t="n">
        <v>41956</v>
      </c>
      <c r="B141" s="0" t="s">
        <v>281</v>
      </c>
      <c r="C141" s="0" t="s">
        <v>165</v>
      </c>
      <c r="D141" s="0" t="s">
        <v>187</v>
      </c>
      <c r="E141" s="0" t="n">
        <v>3.5</v>
      </c>
      <c r="F141" s="0"/>
      <c r="G141" s="0" t="n">
        <v>46</v>
      </c>
    </row>
    <row r="142" customFormat="false" ht="15" hidden="false" customHeight="false" outlineLevel="0" collapsed="false">
      <c r="A142" s="12" t="n">
        <v>41954</v>
      </c>
      <c r="B142" s="0" t="s">
        <v>282</v>
      </c>
      <c r="C142" s="0" t="s">
        <v>237</v>
      </c>
      <c r="D142" s="0" t="s">
        <v>187</v>
      </c>
      <c r="E142" s="0" t="n">
        <v>2</v>
      </c>
      <c r="F142" s="0"/>
      <c r="G142" s="0" t="n">
        <v>46</v>
      </c>
    </row>
    <row r="143" customFormat="false" ht="15" hidden="false" customHeight="false" outlineLevel="0" collapsed="false">
      <c r="A143" s="12" t="n">
        <v>41954</v>
      </c>
      <c r="B143" s="0" t="s">
        <v>283</v>
      </c>
      <c r="C143" s="0" t="s">
        <v>165</v>
      </c>
      <c r="D143" s="0" t="s">
        <v>187</v>
      </c>
      <c r="E143" s="0" t="n">
        <v>1</v>
      </c>
      <c r="F143" s="0"/>
      <c r="G143" s="0" t="n">
        <v>46</v>
      </c>
    </row>
    <row r="144" customFormat="false" ht="15" hidden="false" customHeight="false" outlineLevel="0" collapsed="false">
      <c r="A144" s="12" t="n">
        <v>41953</v>
      </c>
      <c r="B144" s="0" t="s">
        <v>284</v>
      </c>
      <c r="C144" s="0" t="s">
        <v>165</v>
      </c>
      <c r="D144" s="0" t="s">
        <v>187</v>
      </c>
      <c r="E144" s="0" t="n">
        <v>3</v>
      </c>
      <c r="F144" s="0"/>
      <c r="G144" s="0" t="n">
        <v>46</v>
      </c>
    </row>
    <row r="145" customFormat="false" ht="15" hidden="false" customHeight="false" outlineLevel="0" collapsed="false">
      <c r="A145" s="12" t="n">
        <v>41953</v>
      </c>
      <c r="B145" s="0" t="s">
        <v>285</v>
      </c>
      <c r="C145" s="0" t="s">
        <v>165</v>
      </c>
      <c r="D145" s="0" t="s">
        <v>187</v>
      </c>
      <c r="E145" s="0" t="n">
        <v>2</v>
      </c>
      <c r="F145" s="0"/>
      <c r="G145" s="0" t="n">
        <v>46</v>
      </c>
    </row>
    <row r="146" customFormat="false" ht="15" hidden="false" customHeight="false" outlineLevel="0" collapsed="false">
      <c r="A146" s="12" t="n">
        <v>41946</v>
      </c>
      <c r="B146" s="0" t="s">
        <v>286</v>
      </c>
      <c r="C146" s="0" t="s">
        <v>237</v>
      </c>
      <c r="D146" s="0" t="s">
        <v>187</v>
      </c>
      <c r="E146" s="0" t="n">
        <v>1.5</v>
      </c>
      <c r="F146" s="0"/>
      <c r="G146" s="0" t="n">
        <v>45</v>
      </c>
    </row>
    <row r="147" customFormat="false" ht="15" hidden="false" customHeight="false" outlineLevel="0" collapsed="false">
      <c r="A147" s="12" t="n">
        <v>41946</v>
      </c>
      <c r="B147" s="0" t="s">
        <v>287</v>
      </c>
      <c r="C147" s="0" t="s">
        <v>165</v>
      </c>
      <c r="D147" s="0" t="s">
        <v>187</v>
      </c>
      <c r="E147" s="0" t="n">
        <v>1</v>
      </c>
      <c r="F147" s="0"/>
      <c r="G147" s="0" t="n">
        <v>45</v>
      </c>
    </row>
    <row r="148" customFormat="false" ht="15" hidden="false" customHeight="false" outlineLevel="0" collapsed="false">
      <c r="A148" s="12" t="n">
        <v>41946</v>
      </c>
      <c r="B148" s="0" t="s">
        <v>288</v>
      </c>
      <c r="C148" s="0" t="s">
        <v>237</v>
      </c>
      <c r="D148" s="0" t="s">
        <v>187</v>
      </c>
      <c r="E148" s="0" t="n">
        <v>4</v>
      </c>
      <c r="F148" s="0"/>
      <c r="G148" s="0" t="n">
        <v>45</v>
      </c>
    </row>
    <row r="149" customFormat="false" ht="15" hidden="false" customHeight="false" outlineLevel="0" collapsed="false">
      <c r="A149" s="12" t="n">
        <v>41944</v>
      </c>
      <c r="B149" s="0" t="s">
        <v>289</v>
      </c>
      <c r="C149" s="0" t="s">
        <v>12</v>
      </c>
      <c r="D149" s="0" t="s">
        <v>187</v>
      </c>
      <c r="E149" s="0" t="n">
        <v>1</v>
      </c>
      <c r="F149" s="0"/>
      <c r="G149" s="0" t="n">
        <v>44</v>
      </c>
    </row>
    <row r="150" customFormat="false" ht="15" hidden="false" customHeight="false" outlineLevel="0" collapsed="false">
      <c r="A150" s="12" t="n">
        <v>41943</v>
      </c>
      <c r="B150" s="0" t="s">
        <v>290</v>
      </c>
      <c r="C150" s="0" t="s">
        <v>237</v>
      </c>
      <c r="D150" s="0" t="s">
        <v>187</v>
      </c>
      <c r="E150" s="0" t="n">
        <v>6.5</v>
      </c>
      <c r="F150" s="0"/>
      <c r="G150" s="0" t="n">
        <v>44</v>
      </c>
    </row>
    <row r="151" customFormat="false" ht="15" hidden="false" customHeight="false" outlineLevel="0" collapsed="false">
      <c r="A151" s="12" t="n">
        <v>41941</v>
      </c>
      <c r="B151" s="0" t="s">
        <v>290</v>
      </c>
      <c r="C151" s="0" t="s">
        <v>237</v>
      </c>
      <c r="D151" s="0" t="s">
        <v>187</v>
      </c>
      <c r="E151" s="0" t="n">
        <v>4</v>
      </c>
      <c r="F151" s="0"/>
      <c r="G151" s="0" t="n">
        <v>44</v>
      </c>
    </row>
    <row r="152" customFormat="false" ht="15" hidden="false" customHeight="false" outlineLevel="0" collapsed="false">
      <c r="A152" s="12" t="n">
        <v>41941</v>
      </c>
      <c r="B152" s="0" t="s">
        <v>290</v>
      </c>
      <c r="C152" s="0" t="s">
        <v>237</v>
      </c>
      <c r="D152" s="0" t="s">
        <v>187</v>
      </c>
      <c r="E152" s="0" t="n">
        <v>3</v>
      </c>
      <c r="F152" s="0"/>
      <c r="G152" s="0" t="n">
        <v>44</v>
      </c>
    </row>
    <row r="153" customFormat="false" ht="15" hidden="false" customHeight="false" outlineLevel="0" collapsed="false">
      <c r="A153" s="12" t="n">
        <v>41940</v>
      </c>
      <c r="B153" s="0" t="s">
        <v>290</v>
      </c>
      <c r="C153" s="0" t="s">
        <v>237</v>
      </c>
      <c r="D153" s="0" t="s">
        <v>187</v>
      </c>
      <c r="E153" s="0" t="n">
        <v>3</v>
      </c>
      <c r="F153" s="0"/>
      <c r="G153" s="0" t="n">
        <v>44</v>
      </c>
    </row>
    <row r="154" customFormat="false" ht="15" hidden="false" customHeight="false" outlineLevel="0" collapsed="false">
      <c r="A154" s="12" t="n">
        <v>41939</v>
      </c>
      <c r="B154" s="0" t="s">
        <v>290</v>
      </c>
      <c r="C154" s="0" t="s">
        <v>237</v>
      </c>
      <c r="D154" s="0" t="s">
        <v>187</v>
      </c>
      <c r="E154" s="0" t="n">
        <v>8</v>
      </c>
      <c r="F154" s="0"/>
      <c r="G154" s="0" t="n">
        <v>44</v>
      </c>
    </row>
    <row r="155" customFormat="false" ht="15" hidden="false" customHeight="false" outlineLevel="0" collapsed="false">
      <c r="A155" s="12" t="n">
        <v>41939</v>
      </c>
      <c r="B155" s="0" t="s">
        <v>291</v>
      </c>
      <c r="C155" s="0" t="s">
        <v>237</v>
      </c>
      <c r="D155" s="0" t="s">
        <v>187</v>
      </c>
      <c r="E155" s="0" t="n">
        <v>1</v>
      </c>
      <c r="F155" s="0"/>
      <c r="G155" s="0" t="n">
        <v>44</v>
      </c>
    </row>
    <row r="156" customFormat="false" ht="15" hidden="false" customHeight="false" outlineLevel="0" collapsed="false">
      <c r="A156" s="12" t="n">
        <v>41938</v>
      </c>
      <c r="B156" s="0" t="s">
        <v>292</v>
      </c>
      <c r="C156" s="0" t="s">
        <v>237</v>
      </c>
      <c r="D156" s="0" t="s">
        <v>187</v>
      </c>
      <c r="E156" s="0" t="n">
        <v>2</v>
      </c>
      <c r="F156" s="0"/>
      <c r="G156" s="0" t="n">
        <v>43</v>
      </c>
    </row>
    <row r="157" customFormat="false" ht="15" hidden="false" customHeight="false" outlineLevel="0" collapsed="false">
      <c r="A157" s="12" t="n">
        <v>41937</v>
      </c>
      <c r="B157" s="0" t="s">
        <v>292</v>
      </c>
      <c r="C157" s="0" t="s">
        <v>237</v>
      </c>
      <c r="D157" s="0" t="s">
        <v>187</v>
      </c>
      <c r="E157" s="0" t="n">
        <v>1</v>
      </c>
      <c r="F157" s="0"/>
      <c r="G157" s="0" t="n">
        <v>43</v>
      </c>
    </row>
    <row r="158" customFormat="false" ht="15" hidden="false" customHeight="false" outlineLevel="0" collapsed="false">
      <c r="A158" s="12" t="n">
        <v>41936</v>
      </c>
      <c r="B158" s="0" t="s">
        <v>292</v>
      </c>
      <c r="C158" s="0" t="s">
        <v>237</v>
      </c>
      <c r="D158" s="0" t="s">
        <v>187</v>
      </c>
      <c r="E158" s="0" t="n">
        <v>1</v>
      </c>
      <c r="F158" s="0"/>
      <c r="G158" s="0" t="n">
        <v>43</v>
      </c>
    </row>
    <row r="159" customFormat="false" ht="15" hidden="false" customHeight="false" outlineLevel="0" collapsed="false">
      <c r="A159" s="12" t="n">
        <v>41935</v>
      </c>
      <c r="B159" s="0" t="s">
        <v>292</v>
      </c>
      <c r="C159" s="0" t="s">
        <v>237</v>
      </c>
      <c r="D159" s="0" t="s">
        <v>187</v>
      </c>
      <c r="E159" s="0" t="n">
        <v>3</v>
      </c>
      <c r="F159" s="0"/>
      <c r="G159" s="0" t="n">
        <v>43</v>
      </c>
    </row>
    <row r="160" customFormat="false" ht="15" hidden="false" customHeight="false" outlineLevel="0" collapsed="false">
      <c r="A160" s="12" t="n">
        <v>41934</v>
      </c>
      <c r="B160" s="0" t="s">
        <v>292</v>
      </c>
      <c r="C160" s="0" t="s">
        <v>237</v>
      </c>
      <c r="D160" s="0" t="s">
        <v>187</v>
      </c>
      <c r="E160" s="0" t="n">
        <v>3</v>
      </c>
      <c r="F160" s="0"/>
      <c r="G160" s="0" t="n">
        <v>43</v>
      </c>
    </row>
    <row r="161" customFormat="false" ht="15" hidden="false" customHeight="false" outlineLevel="0" collapsed="false">
      <c r="A161" s="12" t="n">
        <v>41931</v>
      </c>
      <c r="B161" s="0" t="s">
        <v>293</v>
      </c>
      <c r="C161" s="0" t="s">
        <v>237</v>
      </c>
      <c r="D161" s="0" t="s">
        <v>187</v>
      </c>
      <c r="E161" s="0" t="n">
        <v>4</v>
      </c>
      <c r="F161" s="0" t="s">
        <v>294</v>
      </c>
      <c r="G161" s="0" t="n">
        <v>42</v>
      </c>
    </row>
    <row r="162" customFormat="false" ht="15" hidden="false" customHeight="false" outlineLevel="0" collapsed="false">
      <c r="A162" s="12" t="n">
        <v>41932</v>
      </c>
      <c r="B162" s="0" t="s">
        <v>295</v>
      </c>
      <c r="C162" s="0" t="s">
        <v>237</v>
      </c>
      <c r="D162" s="0" t="s">
        <v>187</v>
      </c>
      <c r="E162" s="0" t="n">
        <v>4</v>
      </c>
      <c r="G162" s="0" t="n">
        <v>43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1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00" zoomScalePageLayoutView="110" workbookViewId="0">
      <selection pane="topLeft" activeCell="A1" activeCellId="0" sqref="A1"/>
    </sheetView>
  </sheetViews>
  <sheetFormatPr defaultRowHeight="15"/>
  <cols>
    <col collapsed="false" hidden="false" max="5" min="1" style="11" width="8.57085020242915"/>
    <col collapsed="false" hidden="false" max="6" min="6" style="11" width="14.1417004048583"/>
    <col collapsed="false" hidden="false" max="7" min="7" style="11" width="8.57085020242915"/>
    <col collapsed="false" hidden="false" max="1025" min="8" style="0" width="8.57085020242915"/>
  </cols>
  <sheetData>
    <row r="1" customFormat="false" ht="15" hidden="false" customHeight="false" outlineLevel="0" collapsed="false">
      <c r="A1" s="11" t="s">
        <v>3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</row>
    <row r="2" customFormat="false" ht="300" hidden="false" customHeight="false" outlineLevel="0" collapsed="false">
      <c r="A2" s="12" t="n">
        <v>41992</v>
      </c>
      <c r="B2" s="13" t="s">
        <v>161</v>
      </c>
      <c r="C2" s="0" t="s">
        <v>162</v>
      </c>
      <c r="D2" s="0" t="s">
        <v>163</v>
      </c>
      <c r="E2" s="0" t="n">
        <v>45</v>
      </c>
      <c r="F2" s="0"/>
      <c r="G2" s="0" t="n">
        <v>51</v>
      </c>
    </row>
    <row r="3" customFormat="false" ht="315" hidden="false" customHeight="false" outlineLevel="0" collapsed="false">
      <c r="A3" s="12" t="n">
        <v>41987</v>
      </c>
      <c r="B3" s="13" t="s">
        <v>164</v>
      </c>
      <c r="C3" s="0" t="s">
        <v>165</v>
      </c>
      <c r="D3" s="0" t="s">
        <v>163</v>
      </c>
      <c r="E3" s="0" t="n">
        <v>49</v>
      </c>
      <c r="F3" s="0"/>
      <c r="G3" s="0" t="n">
        <v>50</v>
      </c>
    </row>
    <row r="4" customFormat="false" ht="15" hidden="false" customHeight="false" outlineLevel="0" collapsed="false">
      <c r="A4" s="12" t="n">
        <v>41980</v>
      </c>
      <c r="B4" s="0" t="s">
        <v>166</v>
      </c>
      <c r="C4" s="0" t="s">
        <v>165</v>
      </c>
      <c r="D4" s="0" t="s">
        <v>163</v>
      </c>
      <c r="E4" s="0" t="n">
        <v>25</v>
      </c>
      <c r="F4" s="0"/>
      <c r="G4" s="0" t="n">
        <v>49</v>
      </c>
    </row>
    <row r="5" customFormat="false" ht="15" hidden="false" customHeight="false" outlineLevel="0" collapsed="false">
      <c r="A5" s="12" t="n">
        <v>41973</v>
      </c>
      <c r="B5" s="0" t="s">
        <v>167</v>
      </c>
      <c r="C5" s="0" t="s">
        <v>165</v>
      </c>
      <c r="D5" s="0" t="s">
        <v>163</v>
      </c>
      <c r="E5" s="0" t="n">
        <v>33</v>
      </c>
      <c r="F5" s="0"/>
      <c r="G5" s="0" t="n">
        <v>48</v>
      </c>
    </row>
    <row r="6" customFormat="false" ht="15" hidden="false" customHeight="false" outlineLevel="0" collapsed="false">
      <c r="A6" s="12" t="n">
        <v>41897</v>
      </c>
      <c r="B6" s="0" t="s">
        <v>168</v>
      </c>
      <c r="C6" s="0" t="s">
        <v>169</v>
      </c>
      <c r="D6" s="0" t="s">
        <v>163</v>
      </c>
      <c r="E6" s="0" t="n">
        <v>15</v>
      </c>
      <c r="F6" s="0"/>
      <c r="G6" s="0" t="n">
        <v>38</v>
      </c>
    </row>
    <row r="7" customFormat="false" ht="15" hidden="false" customHeight="false" outlineLevel="0" collapsed="false">
      <c r="A7" s="12" t="n">
        <v>41966</v>
      </c>
      <c r="B7" s="0" t="s">
        <v>170</v>
      </c>
      <c r="C7" s="0" t="s">
        <v>165</v>
      </c>
      <c r="D7" s="0" t="s">
        <v>163</v>
      </c>
      <c r="E7" s="0" t="n">
        <v>34</v>
      </c>
      <c r="F7" s="0"/>
      <c r="G7" s="0" t="n">
        <v>47</v>
      </c>
    </row>
    <row r="8" customFormat="false" ht="15" hidden="false" customHeight="false" outlineLevel="0" collapsed="false">
      <c r="A8" s="12" t="n">
        <v>41958</v>
      </c>
      <c r="B8" s="0" t="s">
        <v>171</v>
      </c>
      <c r="C8" s="0" t="s">
        <v>165</v>
      </c>
      <c r="D8" s="0" t="s">
        <v>163</v>
      </c>
      <c r="E8" s="0" t="n">
        <v>27</v>
      </c>
      <c r="F8" s="0"/>
      <c r="G8" s="0" t="n">
        <v>46</v>
      </c>
    </row>
    <row r="9" customFormat="false" ht="15" hidden="false" customHeight="false" outlineLevel="0" collapsed="false">
      <c r="A9" s="12" t="n">
        <v>41952</v>
      </c>
      <c r="B9" s="0" t="s">
        <v>172</v>
      </c>
      <c r="C9" s="0" t="s">
        <v>165</v>
      </c>
      <c r="D9" s="0" t="s">
        <v>163</v>
      </c>
      <c r="E9" s="0" t="n">
        <v>26.5</v>
      </c>
      <c r="F9" s="0"/>
      <c r="G9" s="0" t="n">
        <v>45</v>
      </c>
    </row>
    <row r="10" customFormat="false" ht="15" hidden="false" customHeight="false" outlineLevel="0" collapsed="false">
      <c r="A10" s="12" t="n">
        <v>41945</v>
      </c>
      <c r="B10" s="0" t="s">
        <v>173</v>
      </c>
      <c r="C10" s="0" t="s">
        <v>165</v>
      </c>
      <c r="D10" s="0" t="s">
        <v>163</v>
      </c>
      <c r="E10" s="0" t="n">
        <v>18</v>
      </c>
      <c r="F10" s="0"/>
      <c r="G10" s="0" t="n">
        <v>44</v>
      </c>
    </row>
    <row r="11" customFormat="false" ht="15" hidden="false" customHeight="false" outlineLevel="0" collapsed="false">
      <c r="A11" s="12" t="n">
        <v>41937</v>
      </c>
      <c r="B11" s="0" t="s">
        <v>174</v>
      </c>
      <c r="C11" s="0" t="s">
        <v>169</v>
      </c>
      <c r="D11" s="0" t="s">
        <v>163</v>
      </c>
      <c r="E11" s="0" t="n">
        <v>17</v>
      </c>
      <c r="F11" s="0"/>
      <c r="G11" s="0" t="n">
        <v>43</v>
      </c>
    </row>
    <row r="12" customFormat="false" ht="15" hidden="false" customHeight="false" outlineLevel="0" collapsed="false">
      <c r="A12" s="12" t="n">
        <v>41930</v>
      </c>
      <c r="B12" s="0" t="s">
        <v>175</v>
      </c>
      <c r="C12" s="0" t="s">
        <v>169</v>
      </c>
      <c r="D12" s="0" t="s">
        <v>163</v>
      </c>
      <c r="E12" s="0" t="n">
        <v>14.5</v>
      </c>
      <c r="F12" s="0"/>
      <c r="G12" s="0" t="n">
        <v>42</v>
      </c>
    </row>
    <row r="13" customFormat="false" ht="15" hidden="false" customHeight="false" outlineLevel="0" collapsed="false">
      <c r="A13" s="12" t="n">
        <v>41904</v>
      </c>
      <c r="B13" s="0" t="s">
        <v>176</v>
      </c>
      <c r="C13" s="0" t="s">
        <v>169</v>
      </c>
      <c r="D13" s="0" t="s">
        <v>163</v>
      </c>
      <c r="E13" s="0" t="n">
        <v>2.5</v>
      </c>
      <c r="F13" s="0" t="s">
        <v>177</v>
      </c>
      <c r="G13" s="0" t="n">
        <v>39</v>
      </c>
    </row>
    <row r="14" customFormat="false" ht="15" hidden="false" customHeight="false" outlineLevel="0" collapsed="false">
      <c r="A14" s="12" t="n">
        <v>41924</v>
      </c>
      <c r="B14" s="0" t="s">
        <v>178</v>
      </c>
      <c r="C14" s="0" t="s">
        <v>169</v>
      </c>
      <c r="D14" s="0" t="s">
        <v>163</v>
      </c>
      <c r="E14" s="0" t="n">
        <v>15.5</v>
      </c>
      <c r="G14" s="0" t="n">
        <v>41</v>
      </c>
    </row>
    <row r="15" customFormat="false" ht="15" hidden="false" customHeight="false" outlineLevel="0" collapsed="false">
      <c r="A15" s="12" t="n">
        <v>41917</v>
      </c>
      <c r="B15" s="0" t="s">
        <v>179</v>
      </c>
      <c r="C15" s="0" t="s">
        <v>169</v>
      </c>
      <c r="D15" s="0" t="s">
        <v>163</v>
      </c>
      <c r="E15" s="0" t="n">
        <v>6</v>
      </c>
      <c r="G15" s="0" t="n">
        <v>40</v>
      </c>
    </row>
    <row r="16" customFormat="false" ht="15" hidden="false" customHeight="false" outlineLevel="0" collapsed="false">
      <c r="A16" s="12" t="n">
        <v>41915</v>
      </c>
      <c r="B16" s="0" t="s">
        <v>180</v>
      </c>
      <c r="C16" s="0" t="s">
        <v>169</v>
      </c>
      <c r="D16" s="0" t="s">
        <v>163</v>
      </c>
      <c r="E16" s="0" t="n">
        <v>5</v>
      </c>
      <c r="G16" s="0" t="n">
        <v>40</v>
      </c>
    </row>
    <row r="17" customFormat="false" ht="15" hidden="false" customHeight="false" outlineLevel="0" collapsed="false">
      <c r="A17" s="12" t="n">
        <v>41914</v>
      </c>
      <c r="B17" s="0" t="s">
        <v>181</v>
      </c>
      <c r="C17" s="0" t="s">
        <v>169</v>
      </c>
      <c r="D17" s="0" t="s">
        <v>163</v>
      </c>
      <c r="E17" s="0" t="n">
        <v>3</v>
      </c>
      <c r="G17" s="0" t="n">
        <v>40</v>
      </c>
    </row>
    <row r="18" customFormat="false" ht="15" hidden="false" customHeight="false" outlineLevel="0" collapsed="false">
      <c r="A18" s="12" t="n">
        <v>41908</v>
      </c>
      <c r="B18" s="0" t="s">
        <v>182</v>
      </c>
      <c r="C18" s="0" t="s">
        <v>169</v>
      </c>
      <c r="D18" s="0" t="s">
        <v>163</v>
      </c>
      <c r="E18" s="0" t="n">
        <v>3</v>
      </c>
      <c r="G18" s="0" t="n">
        <v>39</v>
      </c>
    </row>
    <row r="19" customFormat="false" ht="15" hidden="false" customHeight="false" outlineLevel="0" collapsed="false">
      <c r="A19" s="12" t="n">
        <v>41913</v>
      </c>
      <c r="B19" s="0" t="s">
        <v>183</v>
      </c>
      <c r="C19" s="0" t="s">
        <v>165</v>
      </c>
      <c r="D19" s="0" t="s">
        <v>163</v>
      </c>
      <c r="E19" s="0" t="n">
        <v>5.5</v>
      </c>
      <c r="G19" s="0" t="n">
        <v>40</v>
      </c>
    </row>
    <row r="20" customFormat="false" ht="15" hidden="false" customHeight="false" outlineLevel="0" collapsed="false">
      <c r="A20" s="12" t="n">
        <v>41912</v>
      </c>
      <c r="B20" s="0" t="s">
        <v>184</v>
      </c>
      <c r="C20" s="0" t="s">
        <v>169</v>
      </c>
      <c r="D20" s="0" t="s">
        <v>163</v>
      </c>
      <c r="E20" s="0" t="n">
        <v>4.5</v>
      </c>
      <c r="G20" s="0" t="n">
        <v>40</v>
      </c>
    </row>
    <row r="21" customFormat="false" ht="15" hidden="false" customHeight="false" outlineLevel="0" collapsed="false">
      <c r="A21" s="12" t="n">
        <v>41910</v>
      </c>
      <c r="B21" s="0" t="s">
        <v>185</v>
      </c>
      <c r="C21" s="0" t="s">
        <v>169</v>
      </c>
      <c r="D21" s="0" t="s">
        <v>163</v>
      </c>
      <c r="E21" s="0" t="n">
        <v>2</v>
      </c>
      <c r="G21" s="0" t="n">
        <v>39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27"/>
  <sheetViews>
    <sheetView windowProtection="false" showFormulas="false" showGridLines="true" showRowColHeaders="true" showZeros="true" rightToLeft="false" tabSelected="false" showOutlineSymbols="true" defaultGridColor="true" view="pageBreakPreview" topLeftCell="A4" colorId="64" zoomScale="110" zoomScaleNormal="70" zoomScalePageLayoutView="110" workbookViewId="0">
      <selection pane="topLeft" activeCell="B8" activeCellId="0" sqref="B8"/>
    </sheetView>
  </sheetViews>
  <sheetFormatPr defaultRowHeight="17.25"/>
  <cols>
    <col collapsed="false" hidden="false" max="1" min="1" style="14" width="11.246963562753"/>
    <col collapsed="false" hidden="false" max="2" min="2" style="15" width="13.9271255060729"/>
    <col collapsed="false" hidden="false" max="3" min="3" style="14" width="16.3886639676113"/>
    <col collapsed="false" hidden="false" max="4" min="4" style="14" width="11.246963562753"/>
    <col collapsed="false" hidden="false" max="5" min="5" style="16" width="14.1417004048583"/>
    <col collapsed="false" hidden="false" max="6" min="6" style="14" width="97.4777327935223"/>
    <col collapsed="false" hidden="false" max="7" min="7" style="14" width="13.3886639676113"/>
    <col collapsed="false" hidden="false" max="8" min="8" style="14" width="6.63967611336032"/>
    <col collapsed="false" hidden="false" max="9" min="9" style="14" width="11.3562753036437"/>
    <col collapsed="false" hidden="false" max="10" min="10" style="14" width="16.3886639676113"/>
    <col collapsed="false" hidden="false" max="11" min="11" style="14" width="3.74898785425101"/>
    <col collapsed="false" hidden="false" max="12" min="12" style="14" width="16.3886639676113"/>
    <col collapsed="false" hidden="false" max="13" min="13" style="14" width="10.497975708502"/>
    <col collapsed="false" hidden="false" max="14" min="14" style="14" width="6.96356275303644"/>
    <col collapsed="false" hidden="false" max="15" min="15" style="14" width="4.39271255060729"/>
    <col collapsed="false" hidden="false" max="20" min="16" style="14" width="10.497975708502"/>
    <col collapsed="false" hidden="false" max="22" min="21" style="14" width="2.67611336032389"/>
    <col collapsed="false" hidden="false" max="23" min="23" style="14" width="13.3886639676113"/>
    <col collapsed="false" hidden="false" max="24" min="24" style="14" width="6.63967611336032"/>
    <col collapsed="false" hidden="false" max="25" min="25" style="14" width="5.46153846153846"/>
    <col collapsed="false" hidden="false" max="26" min="26" style="14" width="5.89068825910931"/>
    <col collapsed="false" hidden="false" max="27" min="27" style="14" width="10.497975708502"/>
    <col collapsed="false" hidden="false" max="28" min="28" style="14" width="7.49797570850202"/>
    <col collapsed="false" hidden="false" max="29" min="29" style="14" width="9.21052631578947"/>
    <col collapsed="false" hidden="false" max="30" min="30" style="14" width="28.2793522267206"/>
    <col collapsed="false" hidden="false" max="31" min="31" style="14" width="5.35627530364372"/>
    <col collapsed="false" hidden="false" max="32" min="32" style="14" width="6.63967611336032"/>
    <col collapsed="false" hidden="false" max="33" min="33" style="14" width="6.21457489878543"/>
    <col collapsed="false" hidden="false" max="34" min="34" style="14" width="5.24696356275304"/>
    <col collapsed="false" hidden="false" max="35" min="35" style="14" width="8.1417004048583"/>
    <col collapsed="false" hidden="false" max="37" min="36" style="14" width="10.497975708502"/>
    <col collapsed="false" hidden="false" max="38" min="38" style="14" width="13.3886639676113"/>
    <col collapsed="false" hidden="false" max="39" min="39" style="14" width="10.9271255060729"/>
    <col collapsed="false" hidden="false" max="40" min="40" style="14" width="13.3886639676113"/>
    <col collapsed="false" hidden="false" max="41" min="41" style="14" width="10.9271255060729"/>
    <col collapsed="false" hidden="false" max="42" min="42" style="14" width="13.3886639676113"/>
    <col collapsed="false" hidden="false" max="43" min="43" style="14" width="10.9271255060729"/>
    <col collapsed="false" hidden="false" max="44" min="44" style="14" width="13.3886639676113"/>
    <col collapsed="false" hidden="false" max="45" min="45" style="14" width="10.9271255060729"/>
    <col collapsed="false" hidden="false" max="46" min="46" style="14" width="13.3886639676113"/>
    <col collapsed="false" hidden="false" max="47" min="47" style="14" width="10.9271255060729"/>
    <col collapsed="false" hidden="false" max="48" min="48" style="14" width="13.3886639676113"/>
    <col collapsed="false" hidden="false" max="49" min="49" style="14" width="10.9271255060729"/>
    <col collapsed="false" hidden="false" max="50" min="50" style="14" width="28.7085020242915"/>
    <col collapsed="false" hidden="false" max="51" min="51" style="14" width="16.3886639676113"/>
    <col collapsed="false" hidden="false" max="1025" min="52" style="14" width="2.67611336032389"/>
  </cols>
  <sheetData>
    <row r="1" s="19" customFormat="true" ht="46.5" hidden="false" customHeight="true" outlineLevel="0" collapsed="false">
      <c r="A1" s="17" t="s">
        <v>296</v>
      </c>
      <c r="B1" s="18"/>
      <c r="C1" s="18"/>
      <c r="D1" s="18"/>
      <c r="E1" s="18"/>
      <c r="F1" s="18"/>
      <c r="G1" s="17" t="s">
        <v>296</v>
      </c>
      <c r="W1" s="17" t="s">
        <v>296</v>
      </c>
    </row>
    <row r="2" s="20" customFormat="true" ht="23.25" hidden="false" customHeight="false" outlineLevel="0" collapsed="false">
      <c r="A2" s="20" t="s">
        <v>2</v>
      </c>
      <c r="E2" s="21"/>
      <c r="G2" s="20" t="s">
        <v>2</v>
      </c>
      <c r="W2" s="20" t="s">
        <v>297</v>
      </c>
    </row>
    <row r="3" customFormat="false" ht="21" hidden="false" customHeight="false" outlineLevel="0" collapsed="false">
      <c r="A3" s="22" t="n">
        <f aca="true">TODAY()</f>
        <v>43138</v>
      </c>
      <c r="B3" s="23"/>
      <c r="C3" s="24"/>
      <c r="D3" s="24"/>
      <c r="E3" s="24"/>
      <c r="F3" s="24"/>
      <c r="G3" s="22" t="n">
        <f aca="true">TODAY()</f>
        <v>43138</v>
      </c>
      <c r="H3" s="0"/>
      <c r="I3" s="0"/>
      <c r="J3" s="0"/>
      <c r="K3" s="0"/>
      <c r="L3" s="0"/>
      <c r="M3" s="0"/>
      <c r="N3" s="0"/>
      <c r="O3" s="0"/>
      <c r="P3" s="0"/>
      <c r="Q3" s="0"/>
      <c r="R3" s="0"/>
      <c r="S3" s="0"/>
      <c r="T3" s="0"/>
      <c r="U3" s="0"/>
      <c r="V3" s="0"/>
      <c r="W3" s="22" t="n">
        <f aca="true">TODAY()</f>
        <v>43138</v>
      </c>
      <c r="X3" s="0"/>
      <c r="Y3" s="0"/>
      <c r="Z3" s="0"/>
      <c r="AA3" s="0"/>
      <c r="AB3" s="0"/>
      <c r="AC3" s="0"/>
      <c r="AD3" s="0"/>
      <c r="AE3" s="0"/>
      <c r="AF3" s="0"/>
      <c r="AG3" s="0"/>
      <c r="AH3" s="0"/>
      <c r="AI3" s="0"/>
      <c r="AJ3" s="0"/>
      <c r="AK3" s="0"/>
      <c r="AL3" s="0"/>
      <c r="AM3" s="0"/>
      <c r="AN3" s="0"/>
      <c r="AO3" s="0"/>
      <c r="AP3" s="0"/>
      <c r="AQ3" s="0"/>
      <c r="AR3" s="0"/>
      <c r="AS3" s="0"/>
      <c r="AT3" s="0"/>
      <c r="AU3" s="0"/>
      <c r="AV3" s="0"/>
      <c r="AW3" s="0"/>
      <c r="AX3" s="0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customFormat="false" ht="17.25" hidden="false" customHeight="false" outlineLevel="0" collapsed="false">
      <c r="A4" s="25" t="s">
        <v>5</v>
      </c>
      <c r="B4" s="25" t="s">
        <v>298</v>
      </c>
      <c r="C4" s="0"/>
      <c r="D4" s="0"/>
      <c r="E4" s="0"/>
      <c r="F4" s="0"/>
      <c r="G4" s="0"/>
      <c r="H4" s="0"/>
      <c r="I4" s="0"/>
      <c r="J4" s="0"/>
      <c r="K4" s="0"/>
      <c r="L4" s="0"/>
      <c r="M4" s="0"/>
      <c r="N4" s="0"/>
      <c r="O4" s="0"/>
      <c r="P4" s="0"/>
      <c r="Q4" s="0"/>
      <c r="R4" s="0"/>
      <c r="S4" s="0"/>
      <c r="T4" s="0"/>
      <c r="U4" s="0"/>
      <c r="V4" s="0"/>
      <c r="W4" s="0"/>
      <c r="X4" s="0"/>
      <c r="Y4" s="0"/>
      <c r="Z4" s="0"/>
      <c r="AA4" s="0"/>
      <c r="AB4" s="0"/>
      <c r="AC4" s="0"/>
      <c r="AD4" s="0"/>
      <c r="AE4" s="0"/>
      <c r="AF4" s="0"/>
      <c r="AG4" s="0"/>
      <c r="AH4" s="0"/>
      <c r="AI4" s="0"/>
      <c r="AJ4" s="0"/>
      <c r="AK4" s="0"/>
      <c r="AL4" s="0"/>
      <c r="AM4" s="0"/>
      <c r="AN4" s="0"/>
      <c r="AO4" s="0"/>
      <c r="AP4" s="0"/>
      <c r="AQ4" s="0"/>
      <c r="AR4" s="0"/>
      <c r="AS4" s="0"/>
      <c r="AT4" s="0"/>
      <c r="AU4" s="0"/>
      <c r="AV4" s="0"/>
      <c r="AW4" s="0"/>
      <c r="AX4" s="0"/>
      <c r="AY4" s="0"/>
      <c r="AZ4" s="0"/>
      <c r="BA4" s="0"/>
      <c r="BB4" s="0"/>
      <c r="BC4" s="0"/>
      <c r="BD4" s="0"/>
      <c r="BE4" s="0"/>
      <c r="BF4" s="0"/>
      <c r="BG4" s="0"/>
      <c r="BH4" s="0"/>
      <c r="BI4" s="0"/>
      <c r="BJ4" s="0"/>
      <c r="BK4" s="0"/>
      <c r="BL4" s="0"/>
      <c r="BM4" s="0"/>
      <c r="BN4" s="0"/>
      <c r="BO4" s="0"/>
      <c r="BP4" s="0"/>
      <c r="BQ4" s="0"/>
      <c r="BR4" s="0"/>
      <c r="BS4" s="0"/>
      <c r="BT4" s="0"/>
      <c r="BU4" s="0"/>
      <c r="BV4" s="0"/>
      <c r="BW4" s="0"/>
      <c r="BX4" s="0"/>
      <c r="BY4" s="0"/>
      <c r="BZ4" s="0"/>
      <c r="CA4" s="0"/>
      <c r="CB4" s="0"/>
      <c r="CC4" s="0"/>
      <c r="CD4" s="0"/>
      <c r="CE4" s="0"/>
      <c r="CF4" s="0"/>
      <c r="CG4" s="0"/>
      <c r="CH4" s="0"/>
      <c r="CI4" s="0"/>
      <c r="CJ4" s="0"/>
      <c r="CK4" s="0"/>
      <c r="CL4" s="0"/>
      <c r="CM4" s="0"/>
      <c r="CN4" s="0"/>
      <c r="CO4" s="0"/>
      <c r="CP4" s="0"/>
      <c r="CQ4" s="0"/>
      <c r="CR4" s="0"/>
      <c r="CS4" s="0"/>
      <c r="CT4" s="0"/>
      <c r="CU4" s="0"/>
      <c r="CV4" s="0"/>
      <c r="CW4" s="0"/>
      <c r="CX4" s="0"/>
      <c r="CY4" s="0"/>
      <c r="CZ4" s="0"/>
      <c r="DA4" s="0"/>
      <c r="DB4" s="0"/>
      <c r="DC4" s="0"/>
      <c r="DD4" s="0"/>
      <c r="DE4" s="0"/>
      <c r="DF4" s="0"/>
      <c r="DG4" s="0"/>
      <c r="DH4" s="0"/>
      <c r="DI4" s="0"/>
      <c r="DJ4" s="0"/>
      <c r="DK4" s="0"/>
      <c r="DL4" s="0"/>
      <c r="DM4" s="0"/>
      <c r="DN4" s="0"/>
      <c r="DO4" s="0"/>
      <c r="DP4" s="0"/>
      <c r="DQ4" s="0"/>
      <c r="DR4" s="0"/>
      <c r="DS4" s="0"/>
      <c r="DT4" s="0"/>
      <c r="DU4" s="0"/>
      <c r="DV4" s="0"/>
      <c r="DW4" s="0"/>
      <c r="DX4" s="0"/>
      <c r="DY4" s="0"/>
      <c r="DZ4" s="0"/>
      <c r="EA4" s="0"/>
      <c r="EB4" s="0"/>
      <c r="EC4" s="0"/>
      <c r="ED4" s="0"/>
      <c r="EE4" s="0"/>
      <c r="EF4" s="0"/>
      <c r="EG4" s="0"/>
      <c r="EH4" s="0"/>
      <c r="EI4" s="0"/>
      <c r="EJ4" s="0"/>
      <c r="EK4" s="0"/>
      <c r="EL4" s="0"/>
      <c r="EM4" s="0"/>
      <c r="EN4" s="0"/>
      <c r="EO4" s="0"/>
      <c r="EP4" s="0"/>
      <c r="EQ4" s="0"/>
      <c r="ER4" s="0"/>
      <c r="ES4" s="0"/>
      <c r="ET4" s="0"/>
      <c r="EU4" s="0"/>
      <c r="EV4" s="0"/>
      <c r="EW4" s="0"/>
      <c r="EX4" s="0"/>
      <c r="EY4" s="0"/>
      <c r="EZ4" s="0"/>
      <c r="FA4" s="0"/>
      <c r="FB4" s="0"/>
      <c r="FC4" s="0"/>
      <c r="FD4" s="0"/>
      <c r="FE4" s="0"/>
      <c r="FF4" s="0"/>
      <c r="FG4" s="0"/>
      <c r="FH4" s="0"/>
      <c r="FI4" s="0"/>
      <c r="FJ4" s="0"/>
      <c r="FK4" s="0"/>
      <c r="FL4" s="0"/>
      <c r="FM4" s="0"/>
      <c r="FN4" s="0"/>
      <c r="FO4" s="0"/>
      <c r="FP4" s="0"/>
      <c r="FQ4" s="0"/>
      <c r="FR4" s="0"/>
      <c r="FS4" s="0"/>
      <c r="FT4" s="0"/>
      <c r="FU4" s="0"/>
      <c r="FV4" s="0"/>
      <c r="FW4" s="0"/>
      <c r="FX4" s="0"/>
      <c r="FY4" s="0"/>
      <c r="FZ4" s="0"/>
      <c r="GA4" s="0"/>
      <c r="GB4" s="0"/>
      <c r="GC4" s="0"/>
      <c r="GD4" s="0"/>
      <c r="GE4" s="0"/>
      <c r="GF4" s="0"/>
      <c r="GG4" s="0"/>
      <c r="GH4" s="0"/>
      <c r="GI4" s="0"/>
      <c r="GJ4" s="0"/>
      <c r="GK4" s="0"/>
      <c r="GL4" s="0"/>
      <c r="GM4" s="0"/>
      <c r="GN4" s="0"/>
      <c r="GO4" s="0"/>
      <c r="GP4" s="0"/>
      <c r="GQ4" s="0"/>
      <c r="GR4" s="0"/>
      <c r="GS4" s="0"/>
      <c r="GT4" s="0"/>
      <c r="GU4" s="0"/>
      <c r="GV4" s="0"/>
      <c r="GW4" s="0"/>
      <c r="GX4" s="0"/>
      <c r="GY4" s="0"/>
      <c r="GZ4" s="0"/>
      <c r="HA4" s="0"/>
      <c r="HB4" s="0"/>
      <c r="HC4" s="0"/>
      <c r="HD4" s="0"/>
      <c r="HE4" s="0"/>
      <c r="HF4" s="0"/>
      <c r="HG4" s="0"/>
      <c r="HH4" s="0"/>
      <c r="HI4" s="0"/>
      <c r="HJ4" s="0"/>
      <c r="HK4" s="0"/>
      <c r="HL4" s="0"/>
      <c r="HM4" s="0"/>
      <c r="HN4" s="0"/>
      <c r="HO4" s="0"/>
      <c r="HP4" s="0"/>
      <c r="HQ4" s="0"/>
      <c r="HR4" s="0"/>
      <c r="HS4" s="0"/>
      <c r="HT4" s="0"/>
      <c r="HU4" s="0"/>
      <c r="HV4" s="0"/>
      <c r="HW4" s="0"/>
      <c r="HX4" s="0"/>
      <c r="HY4" s="0"/>
      <c r="HZ4" s="0"/>
      <c r="IA4" s="0"/>
      <c r="IB4" s="0"/>
      <c r="IC4" s="0"/>
      <c r="ID4" s="0"/>
      <c r="IE4" s="0"/>
      <c r="IF4" s="0"/>
      <c r="IG4" s="0"/>
      <c r="IH4" s="0"/>
      <c r="II4" s="0"/>
      <c r="IJ4" s="0"/>
      <c r="IK4" s="0"/>
      <c r="IL4" s="0"/>
      <c r="IM4" s="0"/>
      <c r="IN4" s="0"/>
      <c r="IO4" s="0"/>
      <c r="IP4" s="0"/>
      <c r="IQ4" s="0"/>
      <c r="IR4" s="0"/>
      <c r="IS4" s="0"/>
      <c r="IT4" s="0"/>
      <c r="IU4" s="0"/>
      <c r="IV4" s="0"/>
      <c r="IW4" s="0"/>
      <c r="IX4" s="0"/>
      <c r="IY4" s="0"/>
      <c r="IZ4" s="0"/>
      <c r="JA4" s="0"/>
      <c r="JB4" s="0"/>
      <c r="JC4" s="0"/>
      <c r="JD4" s="0"/>
      <c r="JE4" s="0"/>
      <c r="JF4" s="0"/>
      <c r="JG4" s="0"/>
      <c r="JH4" s="0"/>
      <c r="JI4" s="0"/>
      <c r="JJ4" s="0"/>
      <c r="JK4" s="0"/>
      <c r="JL4" s="0"/>
      <c r="JM4" s="0"/>
      <c r="JN4" s="0"/>
      <c r="JO4" s="0"/>
      <c r="JP4" s="0"/>
      <c r="JQ4" s="0"/>
      <c r="JR4" s="0"/>
      <c r="JS4" s="0"/>
      <c r="JT4" s="0"/>
      <c r="JU4" s="0"/>
      <c r="JV4" s="0"/>
      <c r="JW4" s="0"/>
      <c r="JX4" s="0"/>
      <c r="JY4" s="0"/>
      <c r="JZ4" s="0"/>
      <c r="KA4" s="0"/>
      <c r="KB4" s="0"/>
      <c r="KC4" s="0"/>
      <c r="KD4" s="0"/>
      <c r="KE4" s="0"/>
      <c r="KF4" s="0"/>
      <c r="KG4" s="0"/>
      <c r="KH4" s="0"/>
      <c r="KI4" s="0"/>
      <c r="KJ4" s="0"/>
      <c r="KK4" s="0"/>
      <c r="KL4" s="0"/>
      <c r="KM4" s="0"/>
      <c r="KN4" s="0"/>
      <c r="KO4" s="0"/>
      <c r="KP4" s="0"/>
      <c r="KQ4" s="0"/>
      <c r="KR4" s="0"/>
      <c r="KS4" s="0"/>
      <c r="KT4" s="0"/>
      <c r="KU4" s="0"/>
      <c r="KV4" s="0"/>
      <c r="KW4" s="0"/>
      <c r="KX4" s="0"/>
      <c r="KY4" s="0"/>
      <c r="KZ4" s="0"/>
      <c r="LA4" s="0"/>
      <c r="LB4" s="0"/>
      <c r="LC4" s="0"/>
      <c r="LD4" s="0"/>
      <c r="LE4" s="0"/>
      <c r="LF4" s="0"/>
      <c r="LG4" s="0"/>
      <c r="LH4" s="0"/>
      <c r="LI4" s="0"/>
      <c r="LJ4" s="0"/>
      <c r="LK4" s="0"/>
      <c r="LL4" s="0"/>
      <c r="LM4" s="0"/>
      <c r="LN4" s="0"/>
      <c r="LO4" s="0"/>
      <c r="LP4" s="0"/>
      <c r="LQ4" s="0"/>
      <c r="LR4" s="0"/>
      <c r="LS4" s="0"/>
      <c r="LT4" s="0"/>
      <c r="LU4" s="0"/>
      <c r="LV4" s="0"/>
      <c r="LW4" s="0"/>
      <c r="LX4" s="0"/>
      <c r="LY4" s="0"/>
      <c r="LZ4" s="0"/>
      <c r="MA4" s="0"/>
      <c r="MB4" s="0"/>
      <c r="MC4" s="0"/>
      <c r="MD4" s="0"/>
      <c r="ME4" s="0"/>
      <c r="MF4" s="0"/>
      <c r="MG4" s="0"/>
      <c r="MH4" s="0"/>
      <c r="MI4" s="0"/>
      <c r="MJ4" s="0"/>
      <c r="MK4" s="0"/>
      <c r="ML4" s="0"/>
      <c r="MM4" s="0"/>
      <c r="MN4" s="0"/>
      <c r="MO4" s="0"/>
      <c r="MP4" s="0"/>
      <c r="MQ4" s="0"/>
      <c r="MR4" s="0"/>
      <c r="MS4" s="0"/>
      <c r="MT4" s="0"/>
      <c r="MU4" s="0"/>
      <c r="MV4" s="0"/>
      <c r="MW4" s="0"/>
      <c r="MX4" s="0"/>
      <c r="MY4" s="0"/>
      <c r="MZ4" s="0"/>
      <c r="NA4" s="0"/>
      <c r="NB4" s="0"/>
      <c r="NC4" s="0"/>
      <c r="ND4" s="0"/>
      <c r="NE4" s="0"/>
      <c r="NF4" s="0"/>
      <c r="NG4" s="0"/>
      <c r="NH4" s="0"/>
      <c r="NI4" s="0"/>
      <c r="NJ4" s="0"/>
      <c r="NK4" s="0"/>
      <c r="NL4" s="0"/>
      <c r="NM4" s="0"/>
      <c r="NN4" s="0"/>
      <c r="NO4" s="0"/>
      <c r="NP4" s="0"/>
      <c r="NQ4" s="0"/>
      <c r="NR4" s="0"/>
      <c r="NS4" s="0"/>
      <c r="NT4" s="0"/>
      <c r="NU4" s="0"/>
      <c r="NV4" s="0"/>
      <c r="NW4" s="0"/>
      <c r="NX4" s="0"/>
      <c r="NY4" s="0"/>
      <c r="NZ4" s="0"/>
      <c r="OA4" s="0"/>
      <c r="OB4" s="0"/>
      <c r="OC4" s="0"/>
      <c r="OD4" s="0"/>
      <c r="OE4" s="0"/>
      <c r="OF4" s="0"/>
      <c r="OG4" s="0"/>
      <c r="OH4" s="0"/>
      <c r="OI4" s="0"/>
      <c r="OJ4" s="0"/>
      <c r="OK4" s="0"/>
      <c r="OL4" s="0"/>
      <c r="OM4" s="0"/>
      <c r="ON4" s="0"/>
      <c r="OO4" s="0"/>
      <c r="OP4" s="0"/>
      <c r="OQ4" s="0"/>
      <c r="OR4" s="0"/>
      <c r="OS4" s="0"/>
      <c r="OT4" s="0"/>
      <c r="OU4" s="0"/>
      <c r="OV4" s="0"/>
      <c r="OW4" s="0"/>
      <c r="OX4" s="0"/>
      <c r="OY4" s="0"/>
      <c r="OZ4" s="0"/>
      <c r="PA4" s="0"/>
      <c r="PB4" s="0"/>
      <c r="PC4" s="0"/>
      <c r="PD4" s="0"/>
      <c r="PE4" s="0"/>
      <c r="PF4" s="0"/>
      <c r="PG4" s="0"/>
      <c r="PH4" s="0"/>
      <c r="PI4" s="0"/>
      <c r="PJ4" s="0"/>
      <c r="PK4" s="0"/>
      <c r="PL4" s="0"/>
      <c r="PM4" s="0"/>
      <c r="PN4" s="0"/>
      <c r="PO4" s="0"/>
      <c r="PP4" s="0"/>
      <c r="PQ4" s="0"/>
      <c r="PR4" s="0"/>
      <c r="PS4" s="0"/>
      <c r="PT4" s="0"/>
      <c r="PU4" s="0"/>
      <c r="PV4" s="0"/>
      <c r="PW4" s="0"/>
      <c r="PX4" s="0"/>
      <c r="PY4" s="0"/>
      <c r="PZ4" s="0"/>
      <c r="QA4" s="0"/>
      <c r="QB4" s="0"/>
      <c r="QC4" s="0"/>
      <c r="QD4" s="0"/>
      <c r="QE4" s="0"/>
      <c r="QF4" s="0"/>
      <c r="QG4" s="0"/>
      <c r="QH4" s="0"/>
      <c r="QI4" s="0"/>
      <c r="QJ4" s="0"/>
      <c r="QK4" s="0"/>
      <c r="QL4" s="0"/>
      <c r="QM4" s="0"/>
      <c r="QN4" s="0"/>
      <c r="QO4" s="0"/>
      <c r="QP4" s="0"/>
      <c r="QQ4" s="0"/>
      <c r="QR4" s="0"/>
      <c r="QS4" s="0"/>
      <c r="QT4" s="0"/>
      <c r="QU4" s="0"/>
      <c r="QV4" s="0"/>
      <c r="QW4" s="0"/>
      <c r="QX4" s="0"/>
      <c r="QY4" s="0"/>
      <c r="QZ4" s="0"/>
      <c r="RA4" s="0"/>
      <c r="RB4" s="0"/>
      <c r="RC4" s="0"/>
      <c r="RD4" s="0"/>
      <c r="RE4" s="0"/>
      <c r="RF4" s="0"/>
      <c r="RG4" s="0"/>
      <c r="RH4" s="0"/>
      <c r="RI4" s="0"/>
      <c r="RJ4" s="0"/>
      <c r="RK4" s="0"/>
      <c r="RL4" s="0"/>
      <c r="RM4" s="0"/>
      <c r="RN4" s="0"/>
      <c r="RO4" s="0"/>
      <c r="RP4" s="0"/>
      <c r="RQ4" s="0"/>
      <c r="RR4" s="0"/>
      <c r="RS4" s="0"/>
      <c r="RT4" s="0"/>
      <c r="RU4" s="0"/>
      <c r="RV4" s="0"/>
      <c r="RW4" s="0"/>
      <c r="RX4" s="0"/>
      <c r="RY4" s="0"/>
      <c r="RZ4" s="0"/>
      <c r="SA4" s="0"/>
      <c r="SB4" s="0"/>
      <c r="SC4" s="0"/>
      <c r="SD4" s="0"/>
      <c r="SE4" s="0"/>
      <c r="SF4" s="0"/>
      <c r="SG4" s="0"/>
      <c r="SH4" s="0"/>
      <c r="SI4" s="0"/>
      <c r="SJ4" s="0"/>
      <c r="SK4" s="0"/>
      <c r="SL4" s="0"/>
      <c r="SM4" s="0"/>
      <c r="SN4" s="0"/>
      <c r="SO4" s="0"/>
      <c r="SP4" s="0"/>
      <c r="SQ4" s="0"/>
      <c r="SR4" s="0"/>
      <c r="SS4" s="0"/>
      <c r="ST4" s="0"/>
      <c r="SU4" s="0"/>
      <c r="SV4" s="0"/>
      <c r="SW4" s="0"/>
      <c r="SX4" s="0"/>
      <c r="SY4" s="0"/>
      <c r="SZ4" s="0"/>
      <c r="TA4" s="0"/>
      <c r="TB4" s="0"/>
      <c r="TC4" s="0"/>
      <c r="TD4" s="0"/>
      <c r="TE4" s="0"/>
      <c r="TF4" s="0"/>
      <c r="TG4" s="0"/>
      <c r="TH4" s="0"/>
      <c r="TI4" s="0"/>
      <c r="TJ4" s="0"/>
      <c r="TK4" s="0"/>
      <c r="TL4" s="0"/>
      <c r="TM4" s="0"/>
      <c r="TN4" s="0"/>
      <c r="TO4" s="0"/>
      <c r="TP4" s="0"/>
      <c r="TQ4" s="0"/>
      <c r="TR4" s="0"/>
      <c r="TS4" s="0"/>
      <c r="TT4" s="0"/>
      <c r="TU4" s="0"/>
      <c r="TV4" s="0"/>
      <c r="TW4" s="0"/>
      <c r="TX4" s="0"/>
      <c r="TY4" s="0"/>
      <c r="TZ4" s="0"/>
      <c r="UA4" s="0"/>
      <c r="UB4" s="0"/>
      <c r="UC4" s="0"/>
      <c r="UD4" s="0"/>
      <c r="UE4" s="0"/>
      <c r="UF4" s="0"/>
      <c r="UG4" s="0"/>
      <c r="UH4" s="0"/>
      <c r="UI4" s="0"/>
      <c r="UJ4" s="0"/>
      <c r="UK4" s="0"/>
      <c r="UL4" s="0"/>
      <c r="UM4" s="0"/>
      <c r="UN4" s="0"/>
      <c r="UO4" s="0"/>
      <c r="UP4" s="0"/>
      <c r="UQ4" s="0"/>
      <c r="UR4" s="0"/>
      <c r="US4" s="0"/>
      <c r="UT4" s="0"/>
      <c r="UU4" s="0"/>
      <c r="UV4" s="0"/>
      <c r="UW4" s="0"/>
      <c r="UX4" s="0"/>
      <c r="UY4" s="0"/>
      <c r="UZ4" s="0"/>
      <c r="VA4" s="0"/>
      <c r="VB4" s="0"/>
      <c r="VC4" s="0"/>
      <c r="VD4" s="0"/>
      <c r="VE4" s="0"/>
      <c r="VF4" s="0"/>
      <c r="VG4" s="0"/>
      <c r="VH4" s="0"/>
      <c r="VI4" s="0"/>
      <c r="VJ4" s="0"/>
      <c r="VK4" s="0"/>
      <c r="VL4" s="0"/>
      <c r="VM4" s="0"/>
      <c r="VN4" s="0"/>
      <c r="VO4" s="0"/>
      <c r="VP4" s="0"/>
      <c r="VQ4" s="0"/>
      <c r="VR4" s="0"/>
      <c r="VS4" s="0"/>
      <c r="VT4" s="0"/>
      <c r="VU4" s="0"/>
      <c r="VV4" s="0"/>
      <c r="VW4" s="0"/>
      <c r="VX4" s="0"/>
      <c r="VY4" s="0"/>
      <c r="VZ4" s="0"/>
      <c r="WA4" s="0"/>
      <c r="WB4" s="0"/>
      <c r="WC4" s="0"/>
      <c r="WD4" s="0"/>
      <c r="WE4" s="0"/>
      <c r="WF4" s="0"/>
      <c r="WG4" s="0"/>
      <c r="WH4" s="0"/>
      <c r="WI4" s="0"/>
      <c r="WJ4" s="0"/>
      <c r="WK4" s="0"/>
      <c r="WL4" s="0"/>
      <c r="WM4" s="0"/>
      <c r="WN4" s="0"/>
      <c r="WO4" s="0"/>
      <c r="WP4" s="0"/>
      <c r="WQ4" s="0"/>
      <c r="WR4" s="0"/>
      <c r="WS4" s="0"/>
      <c r="WT4" s="0"/>
      <c r="WU4" s="0"/>
      <c r="WV4" s="0"/>
      <c r="WW4" s="0"/>
      <c r="WX4" s="0"/>
      <c r="WY4" s="0"/>
      <c r="WZ4" s="0"/>
      <c r="XA4" s="0"/>
      <c r="XB4" s="0"/>
      <c r="XC4" s="0"/>
      <c r="XD4" s="0"/>
      <c r="XE4" s="0"/>
      <c r="XF4" s="0"/>
      <c r="XG4" s="0"/>
      <c r="XH4" s="0"/>
      <c r="XI4" s="0"/>
      <c r="XJ4" s="0"/>
      <c r="XK4" s="0"/>
      <c r="XL4" s="0"/>
      <c r="XM4" s="0"/>
      <c r="XN4" s="0"/>
      <c r="XO4" s="0"/>
      <c r="XP4" s="0"/>
      <c r="XQ4" s="0"/>
      <c r="XR4" s="0"/>
      <c r="XS4" s="0"/>
      <c r="XT4" s="0"/>
      <c r="XU4" s="0"/>
      <c r="XV4" s="0"/>
      <c r="XW4" s="0"/>
      <c r="XX4" s="0"/>
      <c r="XY4" s="0"/>
      <c r="XZ4" s="0"/>
      <c r="YA4" s="0"/>
      <c r="YB4" s="0"/>
      <c r="YC4" s="0"/>
      <c r="YD4" s="0"/>
      <c r="YE4" s="0"/>
      <c r="YF4" s="0"/>
      <c r="YG4" s="0"/>
      <c r="YH4" s="0"/>
      <c r="YI4" s="0"/>
      <c r="YJ4" s="0"/>
      <c r="YK4" s="0"/>
      <c r="YL4" s="0"/>
      <c r="YM4" s="0"/>
      <c r="YN4" s="0"/>
      <c r="YO4" s="0"/>
      <c r="YP4" s="0"/>
      <c r="YQ4" s="0"/>
      <c r="YR4" s="0"/>
      <c r="YS4" s="0"/>
      <c r="YT4" s="0"/>
      <c r="YU4" s="0"/>
      <c r="YV4" s="0"/>
      <c r="YW4" s="0"/>
      <c r="YX4" s="0"/>
      <c r="YY4" s="0"/>
      <c r="YZ4" s="0"/>
      <c r="ZA4" s="0"/>
      <c r="ZB4" s="0"/>
      <c r="ZC4" s="0"/>
      <c r="ZD4" s="0"/>
      <c r="ZE4" s="0"/>
      <c r="ZF4" s="0"/>
      <c r="ZG4" s="0"/>
      <c r="ZH4" s="0"/>
      <c r="ZI4" s="0"/>
      <c r="ZJ4" s="0"/>
      <c r="ZK4" s="0"/>
      <c r="ZL4" s="0"/>
      <c r="ZM4" s="0"/>
      <c r="ZN4" s="0"/>
      <c r="ZO4" s="0"/>
      <c r="ZP4" s="0"/>
      <c r="ZQ4" s="0"/>
      <c r="ZR4" s="0"/>
      <c r="ZS4" s="0"/>
      <c r="ZT4" s="0"/>
      <c r="ZU4" s="0"/>
      <c r="ZV4" s="0"/>
      <c r="ZW4" s="0"/>
      <c r="ZX4" s="0"/>
      <c r="ZY4" s="0"/>
      <c r="ZZ4" s="0"/>
      <c r="AAA4" s="0"/>
      <c r="AAB4" s="0"/>
      <c r="AAC4" s="0"/>
      <c r="AAD4" s="0"/>
      <c r="AAE4" s="0"/>
      <c r="AAF4" s="0"/>
      <c r="AAG4" s="0"/>
      <c r="AAH4" s="0"/>
      <c r="AAI4" s="0"/>
      <c r="AAJ4" s="0"/>
      <c r="AAK4" s="0"/>
      <c r="AAL4" s="0"/>
      <c r="AAM4" s="0"/>
      <c r="AAN4" s="0"/>
      <c r="AAO4" s="0"/>
      <c r="AAP4" s="0"/>
      <c r="AAQ4" s="0"/>
      <c r="AAR4" s="0"/>
      <c r="AAS4" s="0"/>
      <c r="AAT4" s="0"/>
      <c r="AAU4" s="0"/>
      <c r="AAV4" s="0"/>
      <c r="AAW4" s="0"/>
      <c r="AAX4" s="0"/>
      <c r="AAY4" s="0"/>
      <c r="AAZ4" s="0"/>
      <c r="ABA4" s="0"/>
      <c r="ABB4" s="0"/>
      <c r="ABC4" s="0"/>
      <c r="ABD4" s="0"/>
      <c r="ABE4" s="0"/>
      <c r="ABF4" s="0"/>
      <c r="ABG4" s="0"/>
      <c r="ABH4" s="0"/>
      <c r="ABI4" s="0"/>
      <c r="ABJ4" s="0"/>
      <c r="ABK4" s="0"/>
      <c r="ABL4" s="0"/>
      <c r="ABM4" s="0"/>
      <c r="ABN4" s="0"/>
      <c r="ABO4" s="0"/>
      <c r="ABP4" s="0"/>
      <c r="ABQ4" s="0"/>
      <c r="ABR4" s="0"/>
      <c r="ABS4" s="0"/>
      <c r="ABT4" s="0"/>
      <c r="ABU4" s="0"/>
      <c r="ABV4" s="0"/>
      <c r="ABW4" s="0"/>
      <c r="ABX4" s="0"/>
      <c r="ABY4" s="0"/>
      <c r="ABZ4" s="0"/>
      <c r="ACA4" s="0"/>
      <c r="ACB4" s="0"/>
      <c r="ACC4" s="0"/>
      <c r="ACD4" s="0"/>
      <c r="ACE4" s="0"/>
      <c r="ACF4" s="0"/>
      <c r="ACG4" s="0"/>
      <c r="ACH4" s="0"/>
      <c r="ACI4" s="0"/>
      <c r="ACJ4" s="0"/>
      <c r="ACK4" s="0"/>
      <c r="ACL4" s="0"/>
      <c r="ACM4" s="0"/>
      <c r="ACN4" s="0"/>
      <c r="ACO4" s="0"/>
      <c r="ACP4" s="0"/>
      <c r="ACQ4" s="0"/>
      <c r="ACR4" s="0"/>
      <c r="ACS4" s="0"/>
      <c r="ACT4" s="0"/>
      <c r="ACU4" s="0"/>
      <c r="ACV4" s="0"/>
      <c r="ACW4" s="0"/>
      <c r="ACX4" s="0"/>
      <c r="ACY4" s="0"/>
      <c r="ACZ4" s="0"/>
      <c r="ADA4" s="0"/>
      <c r="ADB4" s="0"/>
      <c r="ADC4" s="0"/>
      <c r="ADD4" s="0"/>
      <c r="ADE4" s="0"/>
      <c r="ADF4" s="0"/>
      <c r="ADG4" s="0"/>
      <c r="ADH4" s="0"/>
      <c r="ADI4" s="0"/>
      <c r="ADJ4" s="0"/>
      <c r="ADK4" s="0"/>
      <c r="ADL4" s="0"/>
      <c r="ADM4" s="0"/>
      <c r="ADN4" s="0"/>
      <c r="ADO4" s="0"/>
      <c r="ADP4" s="0"/>
      <c r="ADQ4" s="0"/>
      <c r="ADR4" s="0"/>
      <c r="ADS4" s="0"/>
      <c r="ADT4" s="0"/>
      <c r="ADU4" s="0"/>
      <c r="ADV4" s="0"/>
      <c r="ADW4" s="0"/>
      <c r="ADX4" s="0"/>
      <c r="ADY4" s="0"/>
      <c r="ADZ4" s="0"/>
      <c r="AEA4" s="0"/>
      <c r="AEB4" s="0"/>
      <c r="AEC4" s="0"/>
      <c r="AED4" s="0"/>
      <c r="AEE4" s="0"/>
      <c r="AEF4" s="0"/>
      <c r="AEG4" s="0"/>
      <c r="AEH4" s="0"/>
      <c r="AEI4" s="0"/>
      <c r="AEJ4" s="0"/>
      <c r="AEK4" s="0"/>
      <c r="AEL4" s="0"/>
      <c r="AEM4" s="0"/>
      <c r="AEN4" s="0"/>
      <c r="AEO4" s="0"/>
      <c r="AEP4" s="0"/>
      <c r="AEQ4" s="0"/>
      <c r="AER4" s="0"/>
      <c r="AES4" s="0"/>
      <c r="AET4" s="0"/>
      <c r="AEU4" s="0"/>
      <c r="AEV4" s="0"/>
      <c r="AEW4" s="0"/>
      <c r="AEX4" s="0"/>
      <c r="AEY4" s="0"/>
      <c r="AEZ4" s="0"/>
      <c r="AFA4" s="0"/>
      <c r="AFB4" s="0"/>
      <c r="AFC4" s="0"/>
      <c r="AFD4" s="0"/>
      <c r="AFE4" s="0"/>
      <c r="AFF4" s="0"/>
      <c r="AFG4" s="0"/>
      <c r="AFH4" s="0"/>
      <c r="AFI4" s="0"/>
      <c r="AFJ4" s="0"/>
      <c r="AFK4" s="0"/>
      <c r="AFL4" s="0"/>
      <c r="AFM4" s="0"/>
      <c r="AFN4" s="0"/>
      <c r="AFO4" s="0"/>
      <c r="AFP4" s="0"/>
      <c r="AFQ4" s="0"/>
      <c r="AFR4" s="0"/>
      <c r="AFS4" s="0"/>
      <c r="AFT4" s="0"/>
      <c r="AFU4" s="0"/>
      <c r="AFV4" s="0"/>
      <c r="AFW4" s="0"/>
      <c r="AFX4" s="0"/>
      <c r="AFY4" s="0"/>
      <c r="AFZ4" s="0"/>
      <c r="AGA4" s="0"/>
      <c r="AGB4" s="0"/>
      <c r="AGC4" s="0"/>
      <c r="AGD4" s="0"/>
      <c r="AGE4" s="0"/>
      <c r="AGF4" s="0"/>
      <c r="AGG4" s="0"/>
      <c r="AGH4" s="0"/>
      <c r="AGI4" s="0"/>
      <c r="AGJ4" s="0"/>
      <c r="AGK4" s="0"/>
      <c r="AGL4" s="0"/>
      <c r="AGM4" s="0"/>
      <c r="AGN4" s="0"/>
      <c r="AGO4" s="0"/>
      <c r="AGP4" s="0"/>
      <c r="AGQ4" s="0"/>
      <c r="AGR4" s="0"/>
      <c r="AGS4" s="0"/>
      <c r="AGT4" s="0"/>
      <c r="AGU4" s="0"/>
      <c r="AGV4" s="0"/>
      <c r="AGW4" s="0"/>
      <c r="AGX4" s="0"/>
      <c r="AGY4" s="0"/>
      <c r="AGZ4" s="0"/>
      <c r="AHA4" s="0"/>
      <c r="AHB4" s="0"/>
      <c r="AHC4" s="0"/>
      <c r="AHD4" s="0"/>
      <c r="AHE4" s="0"/>
      <c r="AHF4" s="0"/>
      <c r="AHG4" s="0"/>
      <c r="AHH4" s="0"/>
      <c r="AHI4" s="0"/>
      <c r="AHJ4" s="0"/>
      <c r="AHK4" s="0"/>
      <c r="AHL4" s="0"/>
      <c r="AHM4" s="0"/>
      <c r="AHN4" s="0"/>
      <c r="AHO4" s="0"/>
      <c r="AHP4" s="0"/>
      <c r="AHQ4" s="0"/>
      <c r="AHR4" s="0"/>
      <c r="AHS4" s="0"/>
      <c r="AHT4" s="0"/>
      <c r="AHU4" s="0"/>
      <c r="AHV4" s="0"/>
      <c r="AHW4" s="0"/>
      <c r="AHX4" s="0"/>
      <c r="AHY4" s="0"/>
      <c r="AHZ4" s="0"/>
      <c r="AIA4" s="0"/>
      <c r="AIB4" s="0"/>
      <c r="AIC4" s="0"/>
      <c r="AID4" s="0"/>
      <c r="AIE4" s="0"/>
      <c r="AIF4" s="0"/>
      <c r="AIG4" s="0"/>
      <c r="AIH4" s="0"/>
      <c r="AII4" s="0"/>
      <c r="AIJ4" s="0"/>
      <c r="AIK4" s="0"/>
      <c r="AIL4" s="0"/>
      <c r="AIM4" s="0"/>
      <c r="AIN4" s="0"/>
      <c r="AIO4" s="0"/>
      <c r="AIP4" s="0"/>
      <c r="AIQ4" s="0"/>
      <c r="AIR4" s="0"/>
      <c r="AIS4" s="0"/>
      <c r="AIT4" s="0"/>
      <c r="AIU4" s="0"/>
      <c r="AIV4" s="0"/>
      <c r="AIW4" s="0"/>
      <c r="AIX4" s="0"/>
      <c r="AIY4" s="0"/>
      <c r="AIZ4" s="0"/>
      <c r="AJA4" s="0"/>
      <c r="AJB4" s="0"/>
      <c r="AJC4" s="0"/>
      <c r="AJD4" s="0"/>
      <c r="AJE4" s="0"/>
      <c r="AJF4" s="0"/>
      <c r="AJG4" s="0"/>
      <c r="AJH4" s="0"/>
      <c r="AJI4" s="0"/>
      <c r="AJJ4" s="0"/>
      <c r="AJK4" s="0"/>
      <c r="AJL4" s="0"/>
      <c r="AJM4" s="0"/>
      <c r="AJN4" s="0"/>
      <c r="AJO4" s="0"/>
      <c r="AJP4" s="0"/>
      <c r="AJQ4" s="0"/>
      <c r="AJR4" s="0"/>
      <c r="AJS4" s="0"/>
      <c r="AJT4" s="0"/>
      <c r="AJU4" s="0"/>
      <c r="AJV4" s="0"/>
      <c r="AJW4" s="0"/>
      <c r="AJX4" s="0"/>
      <c r="AJY4" s="0"/>
      <c r="AJZ4" s="0"/>
      <c r="AKA4" s="0"/>
      <c r="AKB4" s="0"/>
      <c r="AKC4" s="0"/>
      <c r="AKD4" s="0"/>
      <c r="AKE4" s="0"/>
      <c r="AKF4" s="0"/>
      <c r="AKG4" s="0"/>
      <c r="AKH4" s="0"/>
      <c r="AKI4" s="0"/>
      <c r="AKJ4" s="0"/>
      <c r="AKK4" s="0"/>
      <c r="AKL4" s="0"/>
      <c r="AKM4" s="0"/>
      <c r="AKN4" s="0"/>
      <c r="AKO4" s="0"/>
      <c r="AKP4" s="0"/>
      <c r="AKQ4" s="0"/>
      <c r="AKR4" s="0"/>
      <c r="AKS4" s="0"/>
      <c r="AKT4" s="0"/>
      <c r="AKU4" s="0"/>
      <c r="AKV4" s="0"/>
      <c r="AKW4" s="0"/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s="14" customFormat="true" ht="17.25" hidden="false" customHeight="false" outlineLevel="0" collapsed="false">
      <c r="A5" s="0"/>
      <c r="B5" s="0"/>
      <c r="C5" s="0"/>
      <c r="D5" s="0"/>
      <c r="F5" s="26"/>
      <c r="G5" s="27" t="s">
        <v>299</v>
      </c>
      <c r="H5" s="27" t="s">
        <v>300</v>
      </c>
      <c r="I5" s="0"/>
      <c r="J5" s="0"/>
      <c r="K5" s="0"/>
      <c r="L5" s="0"/>
      <c r="M5" s="0"/>
      <c r="N5" s="0"/>
      <c r="O5" s="0"/>
      <c r="Q5" s="28"/>
      <c r="R5" s="28"/>
      <c r="S5" s="28"/>
      <c r="T5" s="28"/>
      <c r="W5" s="27" t="s">
        <v>299</v>
      </c>
      <c r="X5" s="27" t="s">
        <v>300</v>
      </c>
      <c r="Y5" s="0"/>
      <c r="Z5" s="0"/>
      <c r="AA5" s="0"/>
      <c r="AB5" s="0"/>
      <c r="AC5" s="0"/>
      <c r="AD5" s="0"/>
      <c r="AE5" s="0"/>
      <c r="AF5" s="0"/>
      <c r="AG5" s="0"/>
      <c r="AH5" s="0"/>
      <c r="AI5" s="0"/>
      <c r="AJ5" s="0"/>
      <c r="AK5" s="0"/>
      <c r="AL5" s="28"/>
      <c r="AM5" s="28"/>
      <c r="AN5" s="28"/>
      <c r="AO5" s="28"/>
      <c r="AP5" s="28"/>
    </row>
    <row r="6" customFormat="false" ht="17.25" hidden="false" customHeight="false" outlineLevel="0" collapsed="false">
      <c r="A6" s="25" t="s">
        <v>6</v>
      </c>
      <c r="B6" s="25" t="s">
        <v>299</v>
      </c>
      <c r="C6" s="0"/>
      <c r="D6" s="0"/>
      <c r="E6" s="0"/>
      <c r="F6" s="26"/>
      <c r="G6" s="27" t="s">
        <v>301</v>
      </c>
      <c r="H6" s="0" t="s">
        <v>302</v>
      </c>
      <c r="I6" s="0" t="s">
        <v>12</v>
      </c>
      <c r="J6" s="0" t="s">
        <v>17</v>
      </c>
      <c r="K6" s="0" t="s">
        <v>303</v>
      </c>
      <c r="L6" s="0" t="s">
        <v>22</v>
      </c>
      <c r="M6" s="29" t="s">
        <v>304</v>
      </c>
      <c r="N6" s="0"/>
      <c r="O6" s="0"/>
      <c r="Q6" s="28"/>
      <c r="R6" s="28"/>
      <c r="S6" s="28"/>
      <c r="T6" s="28"/>
      <c r="W6" s="27" t="s">
        <v>301</v>
      </c>
      <c r="X6" s="0" t="s">
        <v>302</v>
      </c>
      <c r="Y6" s="0" t="s">
        <v>13</v>
      </c>
      <c r="Z6" s="0" t="s">
        <v>305</v>
      </c>
      <c r="AA6" s="29" t="s">
        <v>304</v>
      </c>
      <c r="AB6" s="0"/>
      <c r="AC6" s="0"/>
      <c r="AD6" s="0"/>
      <c r="AE6" s="0"/>
      <c r="AF6" s="0"/>
      <c r="AG6" s="0"/>
      <c r="AH6" s="0"/>
      <c r="AI6" s="0"/>
      <c r="AJ6" s="0"/>
      <c r="AK6" s="0"/>
      <c r="AL6" s="28"/>
      <c r="AM6" s="28"/>
      <c r="AN6" s="28"/>
      <c r="AO6" s="28"/>
      <c r="AP6" s="28"/>
    </row>
    <row r="7" customFormat="false" ht="17.25" hidden="false" customHeight="false" outlineLevel="0" collapsed="false">
      <c r="A7" s="25" t="s">
        <v>302</v>
      </c>
      <c r="B7" s="30"/>
      <c r="C7" s="0"/>
      <c r="D7" s="0"/>
      <c r="E7" s="0"/>
      <c r="F7" s="26"/>
      <c r="G7" s="31" t="n">
        <v>1900</v>
      </c>
      <c r="H7" s="32"/>
      <c r="I7" s="32"/>
      <c r="J7" s="32"/>
      <c r="K7" s="32"/>
      <c r="L7" s="32"/>
      <c r="M7" s="33"/>
      <c r="N7" s="0"/>
      <c r="O7" s="0"/>
      <c r="Q7" s="28"/>
      <c r="R7" s="28"/>
      <c r="S7" s="28"/>
      <c r="T7" s="28"/>
      <c r="W7" s="31" t="n">
        <v>1900</v>
      </c>
      <c r="X7" s="27"/>
      <c r="Y7" s="27"/>
      <c r="Z7" s="27"/>
      <c r="AA7" s="34"/>
      <c r="AB7" s="0"/>
      <c r="AC7" s="0"/>
      <c r="AD7" s="0"/>
      <c r="AE7" s="0"/>
      <c r="AF7" s="0"/>
      <c r="AG7" s="0"/>
      <c r="AH7" s="0"/>
      <c r="AI7" s="0"/>
      <c r="AJ7" s="0"/>
      <c r="AK7" s="0"/>
      <c r="AL7" s="28"/>
      <c r="AM7" s="28"/>
      <c r="AN7" s="28"/>
      <c r="AO7" s="28"/>
      <c r="AP7" s="28"/>
    </row>
    <row r="8" customFormat="false" ht="17.25" hidden="false" customHeight="false" outlineLevel="0" collapsed="false">
      <c r="A8" s="25" t="s">
        <v>13</v>
      </c>
      <c r="B8" s="30" t="n">
        <v>18.5</v>
      </c>
      <c r="C8" s="0"/>
      <c r="D8" s="0"/>
      <c r="E8" s="0"/>
      <c r="F8" s="26"/>
      <c r="G8" s="35" t="n">
        <v>1</v>
      </c>
      <c r="H8" s="32"/>
      <c r="I8" s="32"/>
      <c r="J8" s="32"/>
      <c r="K8" s="32"/>
      <c r="L8" s="32"/>
      <c r="M8" s="33"/>
      <c r="N8" s="0"/>
      <c r="O8" s="0"/>
      <c r="Q8" s="28"/>
      <c r="R8" s="28"/>
      <c r="S8" s="28"/>
      <c r="T8" s="28"/>
      <c r="W8" s="35" t="n">
        <v>1</v>
      </c>
      <c r="X8" s="27"/>
      <c r="Y8" s="27"/>
      <c r="Z8" s="27"/>
      <c r="AA8" s="34"/>
      <c r="AB8" s="0"/>
      <c r="AC8" s="0"/>
      <c r="AD8" s="0"/>
      <c r="AE8" s="0"/>
      <c r="AF8" s="0"/>
      <c r="AG8" s="0"/>
      <c r="AH8" s="0"/>
      <c r="AI8" s="0"/>
      <c r="AJ8" s="0"/>
      <c r="AK8" s="0"/>
      <c r="AL8" s="28"/>
      <c r="AM8" s="28"/>
      <c r="AN8" s="28"/>
      <c r="AO8" s="28"/>
      <c r="AP8" s="28"/>
    </row>
    <row r="9" customFormat="false" ht="17.25" hidden="false" customHeight="false" outlineLevel="0" collapsed="false">
      <c r="A9" s="25" t="s">
        <v>305</v>
      </c>
      <c r="B9" s="30" t="n">
        <v>360.08</v>
      </c>
      <c r="C9" s="0"/>
      <c r="D9" s="0"/>
      <c r="E9" s="0"/>
      <c r="F9" s="26"/>
      <c r="G9" s="31" t="n">
        <v>2017</v>
      </c>
      <c r="H9" s="32"/>
      <c r="I9" s="32"/>
      <c r="J9" s="32"/>
      <c r="K9" s="32"/>
      <c r="L9" s="32"/>
      <c r="M9" s="33"/>
      <c r="N9" s="0"/>
      <c r="O9" s="0"/>
      <c r="Q9" s="28"/>
      <c r="R9" s="28"/>
      <c r="S9" s="28"/>
      <c r="T9" s="28"/>
      <c r="W9" s="31" t="n">
        <v>2017</v>
      </c>
      <c r="X9" s="27"/>
      <c r="Y9" s="27"/>
      <c r="Z9" s="27"/>
      <c r="AA9" s="34"/>
      <c r="AB9" s="0"/>
      <c r="AC9" s="0"/>
      <c r="AD9" s="0"/>
      <c r="AE9" s="0"/>
      <c r="AF9" s="0"/>
      <c r="AG9" s="0"/>
      <c r="AH9" s="0"/>
      <c r="AI9" s="0"/>
      <c r="AJ9" s="0"/>
      <c r="AK9" s="0"/>
      <c r="AL9" s="28"/>
      <c r="AM9" s="28"/>
      <c r="AN9" s="28"/>
      <c r="AO9" s="28"/>
      <c r="AP9" s="28"/>
    </row>
    <row r="10" customFormat="false" ht="17.25" hidden="false" customHeight="false" outlineLevel="0" collapsed="false">
      <c r="A10" s="25" t="s">
        <v>304</v>
      </c>
      <c r="B10" s="30" t="n">
        <v>378.58</v>
      </c>
      <c r="C10" s="0"/>
      <c r="D10" s="0"/>
      <c r="E10" s="0"/>
      <c r="F10" s="26"/>
      <c r="G10" s="35" t="n">
        <v>36</v>
      </c>
      <c r="H10" s="32"/>
      <c r="I10" s="32" t="n">
        <v>1</v>
      </c>
      <c r="J10" s="32"/>
      <c r="K10" s="32"/>
      <c r="L10" s="32"/>
      <c r="M10" s="33" t="n">
        <v>1</v>
      </c>
      <c r="N10" s="0"/>
      <c r="O10" s="0"/>
      <c r="Q10" s="28"/>
      <c r="R10" s="28"/>
      <c r="S10" s="28"/>
      <c r="T10" s="28"/>
      <c r="W10" s="35" t="n">
        <v>36</v>
      </c>
      <c r="X10" s="27"/>
      <c r="Y10" s="27" t="n">
        <v>1</v>
      </c>
      <c r="Z10" s="27"/>
      <c r="AA10" s="34" t="n">
        <v>1</v>
      </c>
      <c r="AB10" s="0"/>
      <c r="AC10" s="0"/>
      <c r="AD10" s="0"/>
      <c r="AE10" s="0"/>
      <c r="AF10" s="0"/>
      <c r="AG10" s="0"/>
      <c r="AH10" s="0"/>
      <c r="AI10" s="0"/>
      <c r="AJ10" s="0"/>
      <c r="AK10" s="0"/>
      <c r="AL10" s="28"/>
      <c r="AM10" s="28"/>
      <c r="AN10" s="28"/>
      <c r="AO10" s="28"/>
      <c r="AP10" s="28"/>
    </row>
    <row r="11" customFormat="false" ht="17.25" hidden="false" customHeight="false" outlineLevel="0" collapsed="false">
      <c r="A11" s="0"/>
      <c r="B11" s="0"/>
      <c r="C11" s="0"/>
      <c r="D11" s="0"/>
      <c r="E11" s="0"/>
      <c r="G11" s="35" t="n">
        <v>37</v>
      </c>
      <c r="H11" s="32"/>
      <c r="I11" s="32" t="n">
        <v>1.5</v>
      </c>
      <c r="J11" s="32"/>
      <c r="K11" s="32"/>
      <c r="L11" s="32"/>
      <c r="M11" s="33" t="n">
        <v>1.5</v>
      </c>
      <c r="N11" s="0"/>
      <c r="O11" s="0"/>
      <c r="Q11" s="28"/>
      <c r="R11" s="28"/>
      <c r="S11" s="28"/>
      <c r="T11" s="28"/>
      <c r="W11" s="35" t="n">
        <v>37</v>
      </c>
      <c r="X11" s="27"/>
      <c r="Y11" s="27" t="n">
        <v>1.5</v>
      </c>
      <c r="Z11" s="27"/>
      <c r="AA11" s="34" t="n">
        <v>1.5</v>
      </c>
      <c r="AB11" s="0"/>
      <c r="AC11" s="0"/>
      <c r="AD11" s="0"/>
      <c r="AE11" s="0"/>
      <c r="AF11" s="0"/>
      <c r="AG11" s="0"/>
      <c r="AH11" s="0"/>
      <c r="AI11" s="0"/>
      <c r="AJ11" s="0"/>
      <c r="AK11" s="0"/>
      <c r="AL11" s="28"/>
      <c r="AM11" s="28"/>
      <c r="AN11" s="28"/>
      <c r="AO11" s="28"/>
      <c r="AP11" s="28"/>
    </row>
    <row r="12" customFormat="false" ht="17.25" hidden="false" customHeight="false" outlineLevel="0" collapsed="false">
      <c r="A12" s="0"/>
      <c r="B12" s="0"/>
      <c r="C12" s="0"/>
      <c r="D12" s="0"/>
      <c r="E12" s="0"/>
      <c r="G12" s="35" t="n">
        <v>38</v>
      </c>
      <c r="H12" s="32"/>
      <c r="I12" s="32" t="n">
        <v>1</v>
      </c>
      <c r="J12" s="32"/>
      <c r="K12" s="32"/>
      <c r="L12" s="32"/>
      <c r="M12" s="33" t="n">
        <v>1</v>
      </c>
      <c r="N12" s="0"/>
      <c r="O12" s="0"/>
      <c r="Q12" s="28"/>
      <c r="R12" s="28"/>
      <c r="S12" s="28"/>
      <c r="T12" s="28"/>
      <c r="W12" s="35" t="n">
        <v>38</v>
      </c>
      <c r="X12" s="27"/>
      <c r="Y12" s="27" t="n">
        <v>1</v>
      </c>
      <c r="Z12" s="27"/>
      <c r="AA12" s="34" t="n">
        <v>1</v>
      </c>
      <c r="AB12" s="0"/>
      <c r="AC12" s="0"/>
      <c r="AD12" s="0"/>
      <c r="AE12" s="0"/>
      <c r="AF12" s="0"/>
      <c r="AG12" s="0"/>
      <c r="AH12" s="0"/>
      <c r="AI12" s="0"/>
      <c r="AJ12" s="0"/>
      <c r="AK12" s="0"/>
      <c r="AL12" s="28"/>
      <c r="AM12" s="28"/>
      <c r="AN12" s="28"/>
      <c r="AO12" s="28"/>
      <c r="AP12" s="28"/>
    </row>
    <row r="13" customFormat="false" ht="17.25" hidden="false" customHeight="false" outlineLevel="0" collapsed="false">
      <c r="A13" s="0"/>
      <c r="B13" s="0"/>
      <c r="C13" s="0"/>
      <c r="D13" s="0"/>
      <c r="E13" s="0"/>
      <c r="G13" s="35" t="n">
        <v>39</v>
      </c>
      <c r="H13" s="32"/>
      <c r="I13" s="32"/>
      <c r="J13" s="32" t="n">
        <v>11</v>
      </c>
      <c r="K13" s="32" t="n">
        <v>25.72</v>
      </c>
      <c r="L13" s="32"/>
      <c r="M13" s="33" t="n">
        <v>36.72</v>
      </c>
      <c r="N13" s="0"/>
      <c r="O13" s="0"/>
      <c r="Q13" s="28"/>
      <c r="R13" s="28"/>
      <c r="S13" s="28"/>
      <c r="T13" s="28"/>
      <c r="W13" s="35" t="n">
        <v>39</v>
      </c>
      <c r="X13" s="27"/>
      <c r="Y13" s="27" t="n">
        <v>11</v>
      </c>
      <c r="Z13" s="27" t="n">
        <v>25.72</v>
      </c>
      <c r="AA13" s="34" t="n">
        <v>36.72</v>
      </c>
      <c r="AB13" s="0"/>
      <c r="AC13" s="0"/>
      <c r="AD13" s="0"/>
      <c r="AE13" s="0"/>
      <c r="AF13" s="0"/>
      <c r="AG13" s="0"/>
      <c r="AH13" s="0"/>
      <c r="AI13" s="0"/>
      <c r="AJ13" s="0"/>
      <c r="AK13" s="0"/>
      <c r="AL13" s="28"/>
      <c r="AM13" s="28"/>
      <c r="AN13" s="28"/>
      <c r="AO13" s="28"/>
      <c r="AP13" s="28"/>
    </row>
    <row r="14" customFormat="false" ht="17.25" hidden="false" customHeight="false" outlineLevel="0" collapsed="false">
      <c r="A14" s="0"/>
      <c r="B14" s="0"/>
      <c r="C14" s="0"/>
      <c r="D14" s="0"/>
      <c r="E14" s="0"/>
      <c r="G14" s="35" t="n">
        <v>40</v>
      </c>
      <c r="H14" s="32"/>
      <c r="I14" s="32"/>
      <c r="J14" s="32" t="n">
        <v>1.5</v>
      </c>
      <c r="K14" s="32" t="n">
        <v>25.72</v>
      </c>
      <c r="L14" s="32" t="n">
        <v>2.5</v>
      </c>
      <c r="M14" s="33" t="n">
        <v>29.72</v>
      </c>
      <c r="N14" s="0"/>
      <c r="O14" s="0"/>
      <c r="Q14" s="28"/>
      <c r="R14" s="28"/>
      <c r="S14" s="28"/>
      <c r="T14" s="28"/>
      <c r="W14" s="35" t="n">
        <v>40</v>
      </c>
      <c r="X14" s="27"/>
      <c r="Y14" s="27" t="n">
        <v>4</v>
      </c>
      <c r="Z14" s="27" t="n">
        <v>25.72</v>
      </c>
      <c r="AA14" s="34" t="n">
        <v>29.72</v>
      </c>
      <c r="AB14" s="0"/>
      <c r="AC14" s="0"/>
      <c r="AD14" s="0"/>
      <c r="AE14" s="0"/>
      <c r="AF14" s="0"/>
      <c r="AG14" s="0"/>
      <c r="AH14" s="0"/>
      <c r="AI14" s="0"/>
      <c r="AJ14" s="0"/>
      <c r="AK14" s="0"/>
      <c r="AL14" s="28"/>
      <c r="AM14" s="28"/>
      <c r="AN14" s="28"/>
      <c r="AO14" s="28"/>
      <c r="AP14" s="28"/>
    </row>
    <row r="15" customFormat="false" ht="17.25" hidden="false" customHeight="false" outlineLevel="0" collapsed="false">
      <c r="A15" s="0"/>
      <c r="B15" s="0"/>
      <c r="C15" s="0"/>
      <c r="D15" s="0"/>
      <c r="E15" s="0"/>
      <c r="G15" s="35" t="n">
        <v>41</v>
      </c>
      <c r="H15" s="32"/>
      <c r="I15" s="32"/>
      <c r="J15" s="32"/>
      <c r="K15" s="32" t="n">
        <v>25.72</v>
      </c>
      <c r="L15" s="32"/>
      <c r="M15" s="33" t="n">
        <v>25.72</v>
      </c>
      <c r="N15" s="0"/>
      <c r="O15" s="0"/>
      <c r="Q15" s="28"/>
      <c r="R15" s="28"/>
      <c r="S15" s="28"/>
      <c r="T15" s="28"/>
      <c r="W15" s="35" t="n">
        <v>41</v>
      </c>
      <c r="X15" s="27"/>
      <c r="Y15" s="27"/>
      <c r="Z15" s="27" t="n">
        <v>25.72</v>
      </c>
      <c r="AA15" s="34" t="n">
        <v>25.72</v>
      </c>
      <c r="AB15" s="0"/>
      <c r="AC15" s="0"/>
      <c r="AD15" s="0"/>
      <c r="AE15" s="0"/>
      <c r="AF15" s="0"/>
      <c r="AG15" s="0"/>
      <c r="AH15" s="0"/>
      <c r="AI15" s="0"/>
      <c r="AJ15" s="0"/>
      <c r="AK15" s="0"/>
      <c r="AL15" s="28"/>
      <c r="AM15" s="28"/>
      <c r="AN15" s="28"/>
      <c r="AO15" s="28"/>
      <c r="AP15" s="28"/>
    </row>
    <row r="16" customFormat="false" ht="17.25" hidden="false" customHeight="false" outlineLevel="0" collapsed="false">
      <c r="A16" s="0"/>
      <c r="B16" s="0"/>
      <c r="C16" s="36"/>
      <c r="D16" s="0"/>
      <c r="E16" s="0"/>
      <c r="G16" s="35" t="n">
        <v>42</v>
      </c>
      <c r="H16" s="32"/>
      <c r="I16" s="32"/>
      <c r="J16" s="32"/>
      <c r="K16" s="32" t="n">
        <v>25.72</v>
      </c>
      <c r="L16" s="32"/>
      <c r="M16" s="33" t="n">
        <v>25.72</v>
      </c>
      <c r="N16" s="0"/>
      <c r="O16" s="0"/>
      <c r="Q16" s="28"/>
      <c r="R16" s="28"/>
      <c r="S16" s="28"/>
      <c r="T16" s="28"/>
      <c r="W16" s="35" t="n">
        <v>42</v>
      </c>
      <c r="X16" s="27"/>
      <c r="Y16" s="27"/>
      <c r="Z16" s="27" t="n">
        <v>25.72</v>
      </c>
      <c r="AA16" s="34" t="n">
        <v>25.72</v>
      </c>
      <c r="AB16" s="0"/>
      <c r="AC16" s="0"/>
      <c r="AD16" s="0"/>
      <c r="AE16" s="0"/>
      <c r="AF16" s="0"/>
      <c r="AG16" s="0"/>
      <c r="AH16" s="0"/>
      <c r="AI16" s="0"/>
      <c r="AJ16" s="0"/>
      <c r="AK16" s="0"/>
      <c r="AL16" s="28"/>
      <c r="AM16" s="28"/>
      <c r="AN16" s="28"/>
      <c r="AO16" s="28"/>
      <c r="AP16" s="28"/>
    </row>
    <row r="17" customFormat="false" ht="17.25" hidden="false" customHeight="false" outlineLevel="0" collapsed="false">
      <c r="A17" s="0"/>
      <c r="B17" s="0"/>
      <c r="D17" s="0"/>
      <c r="E17" s="0"/>
      <c r="G17" s="35" t="n">
        <v>43</v>
      </c>
      <c r="H17" s="32"/>
      <c r="I17" s="32"/>
      <c r="J17" s="32"/>
      <c r="K17" s="32" t="n">
        <v>25.72</v>
      </c>
      <c r="L17" s="32"/>
      <c r="M17" s="33" t="n">
        <v>25.72</v>
      </c>
      <c r="N17" s="0"/>
      <c r="O17" s="0"/>
      <c r="Q17" s="28"/>
      <c r="R17" s="28"/>
      <c r="S17" s="28"/>
      <c r="T17" s="28"/>
      <c r="W17" s="35" t="n">
        <v>43</v>
      </c>
      <c r="X17" s="27"/>
      <c r="Y17" s="27"/>
      <c r="Z17" s="27" t="n">
        <v>25.72</v>
      </c>
      <c r="AA17" s="34" t="n">
        <v>25.72</v>
      </c>
      <c r="AB17" s="0"/>
      <c r="AC17" s="0"/>
      <c r="AD17" s="0"/>
      <c r="AE17" s="0"/>
      <c r="AF17" s="0"/>
      <c r="AG17" s="0"/>
      <c r="AH17" s="0"/>
      <c r="AI17" s="0"/>
      <c r="AJ17" s="0"/>
      <c r="AK17" s="0"/>
      <c r="AL17" s="28"/>
      <c r="AM17" s="28"/>
      <c r="AN17" s="28"/>
      <c r="AO17" s="28"/>
      <c r="AP17" s="28"/>
    </row>
    <row r="18" customFormat="false" ht="17.25" hidden="false" customHeight="false" outlineLevel="0" collapsed="false">
      <c r="A18" s="0"/>
      <c r="B18" s="0"/>
      <c r="D18" s="0"/>
      <c r="E18" s="0"/>
      <c r="G18" s="35" t="n">
        <v>44</v>
      </c>
      <c r="H18" s="32"/>
      <c r="I18" s="32"/>
      <c r="J18" s="32"/>
      <c r="K18" s="32" t="n">
        <v>25.72</v>
      </c>
      <c r="L18" s="32"/>
      <c r="M18" s="33" t="n">
        <v>25.72</v>
      </c>
      <c r="N18" s="0"/>
      <c r="O18" s="0"/>
      <c r="Q18" s="28"/>
      <c r="R18" s="28"/>
      <c r="S18" s="28"/>
      <c r="T18" s="28"/>
      <c r="W18" s="35" t="n">
        <v>44</v>
      </c>
      <c r="X18" s="27"/>
      <c r="Y18" s="27"/>
      <c r="Z18" s="27" t="n">
        <v>25.72</v>
      </c>
      <c r="AA18" s="34" t="n">
        <v>25.72</v>
      </c>
      <c r="AB18" s="0"/>
      <c r="AC18" s="0"/>
      <c r="AD18" s="0"/>
      <c r="AE18" s="0"/>
      <c r="AF18" s="0"/>
      <c r="AG18" s="0"/>
      <c r="AH18" s="0"/>
      <c r="AI18" s="0"/>
      <c r="AJ18" s="0"/>
      <c r="AK18" s="0"/>
      <c r="AL18" s="28"/>
      <c r="AM18" s="28"/>
      <c r="AN18" s="28"/>
      <c r="AO18" s="28"/>
      <c r="AP18" s="28"/>
    </row>
    <row r="19" customFormat="false" ht="17.25" hidden="false" customHeight="false" outlineLevel="0" collapsed="false">
      <c r="A19" s="0"/>
      <c r="B19" s="0"/>
      <c r="D19" s="0"/>
      <c r="E19" s="0"/>
      <c r="G19" s="35" t="n">
        <v>45</v>
      </c>
      <c r="H19" s="32"/>
      <c r="I19" s="32"/>
      <c r="J19" s="32"/>
      <c r="K19" s="32" t="n">
        <v>25.72</v>
      </c>
      <c r="L19" s="32"/>
      <c r="M19" s="33" t="n">
        <v>25.72</v>
      </c>
      <c r="N19" s="0"/>
      <c r="O19" s="0"/>
      <c r="Q19" s="28"/>
      <c r="R19" s="28"/>
      <c r="S19" s="28"/>
      <c r="T19" s="28"/>
      <c r="W19" s="35" t="n">
        <v>45</v>
      </c>
      <c r="X19" s="27"/>
      <c r="Y19" s="27"/>
      <c r="Z19" s="27" t="n">
        <v>25.72</v>
      </c>
      <c r="AA19" s="34" t="n">
        <v>25.72</v>
      </c>
      <c r="AB19" s="0"/>
      <c r="AC19" s="0"/>
      <c r="AD19" s="0"/>
      <c r="AE19" s="0"/>
      <c r="AF19" s="0"/>
      <c r="AG19" s="0"/>
      <c r="AH19" s="0"/>
      <c r="AI19" s="0"/>
      <c r="AJ19" s="0"/>
      <c r="AK19" s="0"/>
      <c r="AL19" s="28"/>
      <c r="AM19" s="28"/>
      <c r="AN19" s="28"/>
      <c r="AO19" s="28"/>
      <c r="AP19" s="28"/>
    </row>
    <row r="20" customFormat="false" ht="12.75" hidden="false" customHeight="true" outlineLevel="0" collapsed="false">
      <c r="A20" s="0"/>
      <c r="B20" s="0"/>
      <c r="D20" s="26"/>
      <c r="E20" s="26"/>
      <c r="G20" s="35" t="n">
        <v>46</v>
      </c>
      <c r="H20" s="32"/>
      <c r="I20" s="32"/>
      <c r="J20" s="32"/>
      <c r="K20" s="32" t="n">
        <v>25.72</v>
      </c>
      <c r="L20" s="32"/>
      <c r="M20" s="33" t="n">
        <v>25.72</v>
      </c>
      <c r="N20" s="0"/>
      <c r="O20" s="0"/>
      <c r="Q20" s="28"/>
      <c r="R20" s="28"/>
      <c r="S20" s="28"/>
      <c r="T20" s="28"/>
      <c r="W20" s="35" t="n">
        <v>46</v>
      </c>
      <c r="X20" s="27"/>
      <c r="Y20" s="27"/>
      <c r="Z20" s="27" t="n">
        <v>25.72</v>
      </c>
      <c r="AA20" s="34" t="n">
        <v>25.72</v>
      </c>
      <c r="AB20" s="0"/>
      <c r="AC20" s="0"/>
      <c r="AD20" s="0"/>
      <c r="AE20" s="0"/>
      <c r="AF20" s="0"/>
      <c r="AG20" s="0"/>
      <c r="AH20" s="0"/>
      <c r="AI20" s="0"/>
      <c r="AJ20" s="0"/>
      <c r="AK20" s="0"/>
      <c r="AL20" s="28"/>
      <c r="AM20" s="28"/>
      <c r="AN20" s="28"/>
      <c r="AO20" s="28"/>
      <c r="AP20" s="28"/>
    </row>
    <row r="21" customFormat="false" ht="15" hidden="false" customHeight="false" outlineLevel="0" collapsed="false">
      <c r="A21" s="25" t="s">
        <v>5</v>
      </c>
      <c r="B21" s="25" t="s">
        <v>299</v>
      </c>
      <c r="D21" s="26"/>
      <c r="E21" s="26"/>
      <c r="G21" s="35" t="n">
        <v>47</v>
      </c>
      <c r="H21" s="32"/>
      <c r="I21" s="32"/>
      <c r="J21" s="32"/>
      <c r="K21" s="32" t="n">
        <v>25.72</v>
      </c>
      <c r="L21" s="32"/>
      <c r="M21" s="33" t="n">
        <v>25.72</v>
      </c>
      <c r="N21" s="0"/>
      <c r="O21" s="0"/>
      <c r="Q21" s="28"/>
      <c r="R21" s="28"/>
      <c r="S21" s="28"/>
      <c r="T21" s="28"/>
      <c r="W21" s="35" t="n">
        <v>47</v>
      </c>
      <c r="X21" s="27"/>
      <c r="Y21" s="27"/>
      <c r="Z21" s="27" t="n">
        <v>25.72</v>
      </c>
      <c r="AA21" s="34" t="n">
        <v>25.72</v>
      </c>
      <c r="AB21" s="0"/>
      <c r="AC21" s="0"/>
      <c r="AD21" s="0"/>
      <c r="AE21" s="0"/>
      <c r="AF21" s="0"/>
      <c r="AG21" s="0"/>
      <c r="AH21" s="0"/>
      <c r="AI21" s="0"/>
      <c r="AJ21" s="0"/>
      <c r="AK21" s="0"/>
      <c r="AL21" s="28"/>
      <c r="AM21" s="28"/>
      <c r="AN21" s="28"/>
      <c r="AO21" s="28"/>
      <c r="AP21" s="28"/>
    </row>
    <row r="22" customFormat="false" ht="15" hidden="false" customHeight="false" outlineLevel="0" collapsed="false">
      <c r="A22" s="25" t="s">
        <v>12</v>
      </c>
      <c r="B22" s="30" t="n">
        <v>3.5</v>
      </c>
      <c r="D22" s="26"/>
      <c r="E22" s="26"/>
      <c r="G22" s="35" t="n">
        <v>48</v>
      </c>
      <c r="H22" s="32"/>
      <c r="I22" s="32"/>
      <c r="J22" s="32"/>
      <c r="K22" s="32" t="n">
        <v>25.72</v>
      </c>
      <c r="L22" s="32"/>
      <c r="M22" s="33" t="n">
        <v>25.72</v>
      </c>
      <c r="N22" s="0"/>
      <c r="O22" s="0"/>
      <c r="Q22" s="28"/>
      <c r="R22" s="28"/>
      <c r="S22" s="28"/>
      <c r="T22" s="28"/>
      <c r="W22" s="35" t="n">
        <v>48</v>
      </c>
      <c r="X22" s="27"/>
      <c r="Y22" s="27"/>
      <c r="Z22" s="27" t="n">
        <v>25.72</v>
      </c>
      <c r="AA22" s="34" t="n">
        <v>25.72</v>
      </c>
      <c r="AB22" s="0"/>
      <c r="AC22" s="0"/>
      <c r="AD22" s="0"/>
      <c r="AE22" s="0"/>
      <c r="AF22" s="0"/>
      <c r="AG22" s="0"/>
      <c r="AH22" s="0"/>
      <c r="AI22" s="0"/>
      <c r="AJ22" s="0"/>
      <c r="AK22" s="0"/>
      <c r="AL22" s="28"/>
      <c r="AM22" s="28"/>
      <c r="AN22" s="28"/>
      <c r="AO22" s="28"/>
      <c r="AP22" s="28"/>
    </row>
    <row r="23" customFormat="false" ht="17.25" hidden="false" customHeight="false" outlineLevel="0" collapsed="false">
      <c r="A23" s="25" t="s">
        <v>302</v>
      </c>
      <c r="B23" s="30"/>
      <c r="G23" s="35" t="n">
        <v>49</v>
      </c>
      <c r="H23" s="32"/>
      <c r="I23" s="32"/>
      <c r="J23" s="32"/>
      <c r="K23" s="32" t="n">
        <v>25.72</v>
      </c>
      <c r="L23" s="32"/>
      <c r="M23" s="33" t="n">
        <v>25.72</v>
      </c>
      <c r="N23" s="0"/>
      <c r="O23" s="0"/>
      <c r="Q23" s="28"/>
      <c r="R23" s="28"/>
      <c r="S23" s="28"/>
      <c r="T23" s="28"/>
      <c r="W23" s="35" t="n">
        <v>49</v>
      </c>
      <c r="X23" s="27"/>
      <c r="Y23" s="27"/>
      <c r="Z23" s="27" t="n">
        <v>25.72</v>
      </c>
      <c r="AA23" s="34" t="n">
        <v>25.72</v>
      </c>
      <c r="AB23" s="0"/>
      <c r="AC23" s="0"/>
      <c r="AD23" s="0"/>
      <c r="AE23" s="0"/>
      <c r="AF23" s="0"/>
      <c r="AG23" s="0"/>
      <c r="AH23" s="0"/>
      <c r="AI23" s="0"/>
      <c r="AJ23" s="0"/>
      <c r="AK23" s="0"/>
      <c r="AL23" s="28"/>
      <c r="AM23" s="28"/>
      <c r="AN23" s="28"/>
      <c r="AO23" s="28"/>
      <c r="AP23" s="28"/>
    </row>
    <row r="24" customFormat="false" ht="17.25" hidden="false" customHeight="false" outlineLevel="0" collapsed="false">
      <c r="A24" s="25" t="s">
        <v>17</v>
      </c>
      <c r="B24" s="30" t="n">
        <v>12.5</v>
      </c>
      <c r="G24" s="35" t="n">
        <v>50</v>
      </c>
      <c r="H24" s="32"/>
      <c r="I24" s="32"/>
      <c r="J24" s="32"/>
      <c r="K24" s="32" t="n">
        <v>25.72</v>
      </c>
      <c r="L24" s="32"/>
      <c r="M24" s="33" t="n">
        <v>25.72</v>
      </c>
      <c r="N24" s="0"/>
      <c r="O24" s="0"/>
      <c r="Q24" s="28"/>
      <c r="R24" s="28"/>
      <c r="S24" s="28"/>
      <c r="T24" s="28"/>
      <c r="W24" s="35" t="n">
        <v>50</v>
      </c>
      <c r="X24" s="27"/>
      <c r="Y24" s="27"/>
      <c r="Z24" s="27" t="n">
        <v>25.72</v>
      </c>
      <c r="AA24" s="34" t="n">
        <v>25.72</v>
      </c>
      <c r="AB24" s="0"/>
      <c r="AC24" s="0"/>
      <c r="AD24" s="0"/>
      <c r="AE24" s="0"/>
      <c r="AF24" s="0"/>
      <c r="AG24" s="0"/>
      <c r="AH24" s="0"/>
      <c r="AI24" s="0"/>
      <c r="AJ24" s="0"/>
      <c r="AK24" s="0"/>
      <c r="AL24" s="28"/>
      <c r="AM24" s="28"/>
      <c r="AN24" s="28"/>
      <c r="AO24" s="28"/>
      <c r="AP24" s="28"/>
    </row>
    <row r="25" customFormat="false" ht="17.25" hidden="false" customHeight="false" outlineLevel="0" collapsed="false">
      <c r="A25" s="25" t="s">
        <v>303</v>
      </c>
      <c r="B25" s="30" t="n">
        <v>360.08</v>
      </c>
      <c r="G25" s="35" t="n">
        <v>51</v>
      </c>
      <c r="H25" s="32"/>
      <c r="I25" s="32"/>
      <c r="J25" s="32"/>
      <c r="K25" s="32" t="n">
        <v>25.72</v>
      </c>
      <c r="L25" s="32"/>
      <c r="M25" s="33" t="n">
        <v>25.72</v>
      </c>
      <c r="N25" s="0"/>
      <c r="O25" s="0"/>
      <c r="Q25" s="28"/>
      <c r="R25" s="28"/>
      <c r="S25" s="28"/>
      <c r="T25" s="28"/>
      <c r="W25" s="35" t="n">
        <v>51</v>
      </c>
      <c r="X25" s="27"/>
      <c r="Y25" s="27"/>
      <c r="Z25" s="27" t="n">
        <v>25.72</v>
      </c>
      <c r="AA25" s="34" t="n">
        <v>25.72</v>
      </c>
      <c r="AB25" s="0"/>
      <c r="AC25" s="0"/>
      <c r="AD25" s="0"/>
      <c r="AE25" s="0"/>
      <c r="AF25" s="0"/>
      <c r="AG25" s="0"/>
      <c r="AH25" s="0"/>
      <c r="AI25" s="0"/>
      <c r="AJ25" s="0"/>
      <c r="AK25" s="0"/>
      <c r="AL25" s="28"/>
      <c r="AM25" s="28"/>
      <c r="AN25" s="28"/>
      <c r="AO25" s="28"/>
      <c r="AP25" s="28"/>
    </row>
    <row r="26" customFormat="false" ht="17.25" hidden="false" customHeight="false" outlineLevel="0" collapsed="false">
      <c r="A26" s="25" t="s">
        <v>22</v>
      </c>
      <c r="B26" s="30" t="n">
        <v>2.5</v>
      </c>
      <c r="G26" s="35" t="n">
        <v>52</v>
      </c>
      <c r="H26" s="32"/>
      <c r="I26" s="32"/>
      <c r="J26" s="32"/>
      <c r="K26" s="32" t="n">
        <v>25.72</v>
      </c>
      <c r="L26" s="32"/>
      <c r="M26" s="33" t="n">
        <v>25.72</v>
      </c>
      <c r="N26" s="0"/>
      <c r="O26" s="0"/>
      <c r="Q26" s="28"/>
      <c r="R26" s="28"/>
      <c r="S26" s="28"/>
      <c r="T26" s="28"/>
      <c r="W26" s="35" t="n">
        <v>52</v>
      </c>
      <c r="X26" s="27"/>
      <c r="Y26" s="27"/>
      <c r="Z26" s="27" t="n">
        <v>25.72</v>
      </c>
      <c r="AA26" s="34" t="n">
        <v>25.72</v>
      </c>
      <c r="AB26" s="0"/>
      <c r="AC26" s="0"/>
      <c r="AD26" s="0"/>
      <c r="AE26" s="0"/>
      <c r="AF26" s="0"/>
      <c r="AG26" s="0"/>
      <c r="AH26" s="0"/>
      <c r="AI26" s="0"/>
      <c r="AJ26" s="0"/>
      <c r="AK26" s="0"/>
      <c r="AL26" s="28"/>
      <c r="AM26" s="28"/>
      <c r="AN26" s="28"/>
      <c r="AO26" s="28"/>
      <c r="AP26" s="28"/>
    </row>
    <row r="27" customFormat="false" ht="17.25" hidden="false" customHeight="false" outlineLevel="0" collapsed="false">
      <c r="A27" s="25" t="s">
        <v>304</v>
      </c>
      <c r="B27" s="30" t="n">
        <v>378.58</v>
      </c>
      <c r="G27" s="31" t="s">
        <v>304</v>
      </c>
      <c r="H27" s="32"/>
      <c r="I27" s="32" t="n">
        <v>3.5</v>
      </c>
      <c r="J27" s="32" t="n">
        <v>12.5</v>
      </c>
      <c r="K27" s="32" t="n">
        <v>360.08</v>
      </c>
      <c r="L27" s="32" t="n">
        <v>2.5</v>
      </c>
      <c r="M27" s="33" t="n">
        <v>378.58</v>
      </c>
      <c r="N27" s="0"/>
      <c r="O27" s="0"/>
      <c r="W27" s="31" t="s">
        <v>304</v>
      </c>
      <c r="X27" s="37"/>
      <c r="Y27" s="37" t="n">
        <v>18.5</v>
      </c>
      <c r="Z27" s="37" t="n">
        <v>360.08</v>
      </c>
      <c r="AA27" s="34" t="n">
        <v>378.58</v>
      </c>
      <c r="AB27" s="0"/>
      <c r="AC27" s="0"/>
      <c r="AD27" s="0"/>
      <c r="AE27" s="0"/>
      <c r="AF27" s="0"/>
      <c r="AG27" s="0"/>
      <c r="AH27" s="0"/>
      <c r="AI27" s="0"/>
      <c r="AJ27" s="0"/>
      <c r="AK27" s="0"/>
      <c r="AL27" s="28"/>
      <c r="AM27" s="28"/>
      <c r="AN27" s="28"/>
      <c r="AO27" s="28"/>
      <c r="AP27" s="2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rowBreaks count="2" manualBreakCount="2">
    <brk id="30" man="true" max="16383" min="0"/>
    <brk id="48" man="true" max="16383" min="0"/>
  </rowBreaks>
  <colBreaks count="2" manualBreakCount="2">
    <brk id="6" man="true" max="65535" min="0"/>
    <brk id="22" man="true" max="65535" min="0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"/>
  <sheetViews>
    <sheetView windowProtection="false" showFormulas="false" showGridLines="true" showRowColHeaders="true" showZeros="true" rightToLeft="false" tabSelected="false" showOutlineSymbols="true" defaultGridColor="true" view="pageBreakPreview" topLeftCell="A1" colorId="64" zoomScale="110" zoomScaleNormal="130" zoomScalePageLayoutView="110" workbookViewId="0">
      <selection pane="topLeft" activeCell="C7" activeCellId="0" sqref="C7"/>
    </sheetView>
  </sheetViews>
  <sheetFormatPr defaultRowHeight="15"/>
  <cols>
    <col collapsed="false" hidden="false" max="1" min="1" style="11" width="16.3886639676113"/>
    <col collapsed="false" hidden="false" max="2" min="2" style="0" width="8.57085020242915"/>
    <col collapsed="false" hidden="false" max="3" min="3" style="11" width="14.1417004048583"/>
    <col collapsed="false" hidden="false" max="1025" min="4" style="0" width="8.57085020242915"/>
  </cols>
  <sheetData>
    <row r="1" customFormat="false" ht="15" hidden="false" customHeight="false" outlineLevel="0" collapsed="false">
      <c r="A1" s="11" t="s">
        <v>306</v>
      </c>
      <c r="C1" s="11" t="s">
        <v>5</v>
      </c>
    </row>
    <row r="2" customFormat="false" ht="15" hidden="false" customHeight="false" outlineLevel="0" collapsed="false">
      <c r="A2" s="0" t="s">
        <v>13</v>
      </c>
      <c r="C2" s="0" t="s">
        <v>12</v>
      </c>
    </row>
    <row r="3" customFormat="false" ht="15" hidden="false" customHeight="false" outlineLevel="0" collapsed="false">
      <c r="A3" s="0" t="s">
        <v>303</v>
      </c>
      <c r="C3" s="0" t="s">
        <v>17</v>
      </c>
    </row>
    <row r="4" customFormat="false" ht="15" hidden="false" customHeight="false" outlineLevel="0" collapsed="false">
      <c r="C4" s="0" t="s">
        <v>22</v>
      </c>
    </row>
    <row r="5" customFormat="false" ht="15" hidden="false" customHeight="false" outlineLevel="0" collapsed="false">
      <c r="C5" s="0" t="s">
        <v>26</v>
      </c>
    </row>
    <row r="6" customFormat="false" ht="13.8" hidden="false" customHeight="false" outlineLevel="0" collapsed="false">
      <c r="C6" s="0" t="s">
        <v>106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15367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2014-10-24T11:44:35Z</dcterms:created>
  <dc:creator>Göldi Simon</dc:creator>
  <dc:description/>
  <dc:language>de-CH</dc:language>
  <cp:lastModifiedBy/>
  <cp:lastPrinted>2015-06-11T11:01:53Z</cp:lastPrinted>
  <dcterms:modified xsi:type="dcterms:W3CDTF">2018-02-07T16:50:35Z</dcterms:modified>
  <cp:revision>102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